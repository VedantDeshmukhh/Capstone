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Sections" sheetId="3" state="visible" r:id="rId5"/>
    <sheet name="Students" sheetId="4" state="visible" r:id="rId6"/>
    <sheet name="Complaints" sheetId="5" state="visible" r:id="rId7"/>
    <sheet name="Formula" sheetId="6" state="visible" r:id="rId8"/>
  </sheets>
  <definedNames>
    <definedName function="false" hidden="true" localSheetId="4" name="_xlnm._FilterDatabase" vbProcedure="false">Complaints!$A$1:$S$101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<sst xmlns="http://schemas.openxmlformats.org/spreadsheetml/2006/main" count="1401" uniqueCount="556">
  <si>
    <t xml:space="preserve">ResolveX - Data Workbook</t>
  </si>
  <si>
    <t xml:space="preserve">What is in this file</t>
  </si>
  <si>
    <t xml:space="preserve">Sections: the 3 sections and their student strength (CSE 50, AIDS 40, AIML 10). Blue cells are the inputs.</t>
  </si>
  <si>
    <t xml:space="preserve">Students: all 100 students, one login each (username cse1..cse50, aids1..aids40, aiml1..aiml10).</t>
  </si>
  <si>
    <t xml:space="preserve">Complaints: 100 complaints, one reported by every student. Votes, Support % and Priority Score are FORMULAS.</t>
  </si>
  <si>
    <t xml:space="preserve">Summary: section-wise counts (all formulas).</t>
  </si>
  <si>
    <t xml:space="preserve">Formula: the weights of the priority formula (blue cells). Change a weight and every score updates.</t>
  </si>
  <si>
    <t xml:space="preserve">How this connects to the Java project</t>
  </si>
  <si>
    <t xml:space="preserve">The Java program reads data/import/students.csv and data/import/complaints.csv on the first run.</t>
  </si>
  <si>
    <t xml:space="preserve">These two CSV files hold exactly the same data as the Students and Complaints sheets (without the formula columns).</t>
  </si>
  <si>
    <t xml:space="preserve">To use your own data: edit the two CSV files in Excel, delete the 4 .txt files in the data folder, run the project again.</t>
  </si>
  <si>
    <t xml:space="preserve">IMPORTANT - student names</t>
  </si>
  <si>
    <t xml:space="preserve">Full names in the Students sheet are placeholders because the real class list was not available.</t>
  </si>
  <si>
    <t xml:space="preserve">Replace column B of data/import/students.csv with the real names before the final demo. Usernames and sections must stay the same.</t>
  </si>
  <si>
    <t xml:space="preserve">Default password of every student: pass123.  Admin: admin / admin123.</t>
  </si>
  <si>
    <t xml:space="preserve">Section</t>
  </si>
  <si>
    <t xml:space="preserve">Students</t>
  </si>
  <si>
    <t xml:space="preserve">Complaints</t>
  </si>
  <si>
    <t xml:space="preserve">Complaints per student</t>
  </si>
  <si>
    <t xml:space="preserve">Open</t>
  </si>
  <si>
    <t xml:space="preserve">In Progress</t>
  </si>
  <si>
    <t xml:space="preserve">Resolved / Closed</t>
  </si>
  <si>
    <t xml:space="preserve">Safety critical (open)</t>
  </si>
  <si>
    <t xml:space="preserve">Average support %</t>
  </si>
  <si>
    <t xml:space="preserve">CSE</t>
  </si>
  <si>
    <t xml:space="preserve">AIDS</t>
  </si>
  <si>
    <t xml:space="preserve">AIML</t>
  </si>
  <si>
    <t xml:space="preserve">Total</t>
  </si>
  <si>
    <t xml:space="preserve">Open = not Resolved, Closed or Rejected and not In Progress (same rule as the admin dashboard).</t>
  </si>
  <si>
    <t xml:space="preserve">Students (strength)</t>
  </si>
  <si>
    <t xml:space="preserve">Students listed in Students sheet</t>
  </si>
  <si>
    <t xml:space="preserve">Check</t>
  </si>
  <si>
    <t xml:space="preserve">Source: section strength given by the project owner: CSE = 50, AIDS = 40, AIML = 10 students.</t>
  </si>
  <si>
    <t xml:space="preserve">Username</t>
  </si>
  <si>
    <t xml:space="preserve">Full name (replace with real name)</t>
  </si>
  <si>
    <t xml:space="preserve">Default password</t>
  </si>
  <si>
    <t xml:space="preserve">Complaints reported</t>
  </si>
  <si>
    <t xml:space="preserve">cse1</t>
  </si>
  <si>
    <t xml:space="preserve">Mihir Singh</t>
  </si>
  <si>
    <t xml:space="preserve">pass123</t>
  </si>
  <si>
    <t xml:space="preserve">cse2</t>
  </si>
  <si>
    <t xml:space="preserve">Apoorva Menon</t>
  </si>
  <si>
    <t xml:space="preserve">cse3</t>
  </si>
  <si>
    <t xml:space="preserve">Tejas Desai</t>
  </si>
  <si>
    <t xml:space="preserve">cse4</t>
  </si>
  <si>
    <t xml:space="preserve">Swati Apte</t>
  </si>
  <si>
    <t xml:space="preserve">cse5</t>
  </si>
  <si>
    <t xml:space="preserve">Pallavi Sawant</t>
  </si>
  <si>
    <t xml:space="preserve">cse6</t>
  </si>
  <si>
    <t xml:space="preserve">Sayali Raut</t>
  </si>
  <si>
    <t xml:space="preserve">cse7</t>
  </si>
  <si>
    <t xml:space="preserve">Vaishnavi Tambe</t>
  </si>
  <si>
    <t xml:space="preserve">cse8</t>
  </si>
  <si>
    <t xml:space="preserve">Kiran Thakur</t>
  </si>
  <si>
    <t xml:space="preserve">cse9</t>
  </si>
  <si>
    <t xml:space="preserve">Vedant Sharma</t>
  </si>
  <si>
    <t xml:space="preserve">cse10</t>
  </si>
  <si>
    <t xml:space="preserve">Harshada Jadhav</t>
  </si>
  <si>
    <t xml:space="preserve">cse11</t>
  </si>
  <si>
    <t xml:space="preserve">Yash Nair</t>
  </si>
  <si>
    <t xml:space="preserve">cse12</t>
  </si>
  <si>
    <t xml:space="preserve">Harsh Thakur</t>
  </si>
  <si>
    <t xml:space="preserve">cse13</t>
  </si>
  <si>
    <t xml:space="preserve">Amit Rane</t>
  </si>
  <si>
    <t xml:space="preserve">cse14</t>
  </si>
  <si>
    <t xml:space="preserve">Vaishnavi Rane</t>
  </si>
  <si>
    <t xml:space="preserve">cse15</t>
  </si>
  <si>
    <t xml:space="preserve">Sneha Naik</t>
  </si>
  <si>
    <t xml:space="preserve">cse16</t>
  </si>
  <si>
    <t xml:space="preserve">Tanvi Shah</t>
  </si>
  <si>
    <t xml:space="preserve">cse17</t>
  </si>
  <si>
    <t xml:space="preserve">Riya Gupta</t>
  </si>
  <si>
    <t xml:space="preserve">cse18</t>
  </si>
  <si>
    <t xml:space="preserve">Aarti Mane</t>
  </si>
  <si>
    <t xml:space="preserve">cse19</t>
  </si>
  <si>
    <t xml:space="preserve">Trupti Bapat</t>
  </si>
  <si>
    <t xml:space="preserve">cse20</t>
  </si>
  <si>
    <t xml:space="preserve">Vivek Lad</t>
  </si>
  <si>
    <t xml:space="preserve">cse21</t>
  </si>
  <si>
    <t xml:space="preserve">Ananya Jadhav</t>
  </si>
  <si>
    <t xml:space="preserve">cse22</t>
  </si>
  <si>
    <t xml:space="preserve">Pallavi Kadam</t>
  </si>
  <si>
    <t xml:space="preserve">cse23</t>
  </si>
  <si>
    <t xml:space="preserve">Jayesh Nair</t>
  </si>
  <si>
    <t xml:space="preserve">cse24</t>
  </si>
  <si>
    <t xml:space="preserve">Prachi Gaikwad</t>
  </si>
  <si>
    <t xml:space="preserve">cse25</t>
  </si>
  <si>
    <t xml:space="preserve">Sayali Reddy</t>
  </si>
  <si>
    <t xml:space="preserve">cse26</t>
  </si>
  <si>
    <t xml:space="preserve">Aditya Dalvi</t>
  </si>
  <si>
    <t xml:space="preserve">cse27</t>
  </si>
  <si>
    <t xml:space="preserve">Shruti Agarwal</t>
  </si>
  <si>
    <t xml:space="preserve">cse28</t>
  </si>
  <si>
    <t xml:space="preserve">Janhavi Mhatre</t>
  </si>
  <si>
    <t xml:space="preserve">cse29</t>
  </si>
  <si>
    <t xml:space="preserve">Akash Salvi</t>
  </si>
  <si>
    <t xml:space="preserve">cse30</t>
  </si>
  <si>
    <t xml:space="preserve">Nikita Raut</t>
  </si>
  <si>
    <t xml:space="preserve">cse31</t>
  </si>
  <si>
    <t xml:space="preserve">Gauri Shinde</t>
  </si>
  <si>
    <t xml:space="preserve">cse32</t>
  </si>
  <si>
    <t xml:space="preserve">Payal Menon</t>
  </si>
  <si>
    <t xml:space="preserve">cse33</t>
  </si>
  <si>
    <t xml:space="preserve">Swati Rao</t>
  </si>
  <si>
    <t xml:space="preserve">cse34</t>
  </si>
  <si>
    <t xml:space="preserve">Tanvi Bhat</t>
  </si>
  <si>
    <t xml:space="preserve">cse35</t>
  </si>
  <si>
    <t xml:space="preserve">Neel Sawant</t>
  </si>
  <si>
    <t xml:space="preserve">cse36</t>
  </si>
  <si>
    <t xml:space="preserve">Rashmi Mishra</t>
  </si>
  <si>
    <t xml:space="preserve">cse37</t>
  </si>
  <si>
    <t xml:space="preserve">Trupti Bhat</t>
  </si>
  <si>
    <t xml:space="preserve">cse38</t>
  </si>
  <si>
    <t xml:space="preserve">Aditya Wagh</t>
  </si>
  <si>
    <t xml:space="preserve">cse39</t>
  </si>
  <si>
    <t xml:space="preserve">Saurabh Surve</t>
  </si>
  <si>
    <t xml:space="preserve">cse40</t>
  </si>
  <si>
    <t xml:space="preserve">Aryan Joshi</t>
  </si>
  <si>
    <t xml:space="preserve">cse41</t>
  </si>
  <si>
    <t xml:space="preserve">Ketaki Tilak</t>
  </si>
  <si>
    <t xml:space="preserve">cse42</t>
  </si>
  <si>
    <t xml:space="preserve">Tejas Dalvi</t>
  </si>
  <si>
    <t xml:space="preserve">cse43</t>
  </si>
  <si>
    <t xml:space="preserve">Payal Mishra</t>
  </si>
  <si>
    <t xml:space="preserve">cse44</t>
  </si>
  <si>
    <t xml:space="preserve">Shubham Mishra</t>
  </si>
  <si>
    <t xml:space="preserve">cse45</t>
  </si>
  <si>
    <t xml:space="preserve">Tanmay Shinde</t>
  </si>
  <si>
    <t xml:space="preserve">cse46</t>
  </si>
  <si>
    <t xml:space="preserve">Prachi Rane</t>
  </si>
  <si>
    <t xml:space="preserve">cse47</t>
  </si>
  <si>
    <t xml:space="preserve">Madhuri Dalvi</t>
  </si>
  <si>
    <t xml:space="preserve">cse48</t>
  </si>
  <si>
    <t xml:space="preserve">Tanishka Shah</t>
  </si>
  <si>
    <t xml:space="preserve">cse49</t>
  </si>
  <si>
    <t xml:space="preserve">Pallavi Salvi</t>
  </si>
  <si>
    <t xml:space="preserve">cse50</t>
  </si>
  <si>
    <t xml:space="preserve">Priya Raut</t>
  </si>
  <si>
    <t xml:space="preserve">aids1</t>
  </si>
  <si>
    <t xml:space="preserve">Apoorva Parab</t>
  </si>
  <si>
    <t xml:space="preserve">aids2</t>
  </si>
  <si>
    <t xml:space="preserve">Snehal Salvi</t>
  </si>
  <si>
    <t xml:space="preserve">aids3</t>
  </si>
  <si>
    <t xml:space="preserve">Divya Bhosale</t>
  </si>
  <si>
    <t xml:space="preserve">aids4</t>
  </si>
  <si>
    <t xml:space="preserve">Jayesh Iyer</t>
  </si>
  <si>
    <t xml:space="preserve">aids5</t>
  </si>
  <si>
    <t xml:space="preserve">Amit Kulkarni</t>
  </si>
  <si>
    <t xml:space="preserve">aids6</t>
  </si>
  <si>
    <t xml:space="preserve">Ganesh Gokhale</t>
  </si>
  <si>
    <t xml:space="preserve">aids7</t>
  </si>
  <si>
    <t xml:space="preserve">Swati Pandey</t>
  </si>
  <si>
    <t xml:space="preserve">aids8</t>
  </si>
  <si>
    <t xml:space="preserve">Ketaki Rao</t>
  </si>
  <si>
    <t xml:space="preserve">aids9</t>
  </si>
  <si>
    <t xml:space="preserve">Isha Bhosale</t>
  </si>
  <si>
    <t xml:space="preserve">aids10</t>
  </si>
  <si>
    <t xml:space="preserve">Neel Parab</t>
  </si>
  <si>
    <t xml:space="preserve">aids11</t>
  </si>
  <si>
    <t xml:space="preserve">Vaishnavi Pandey</t>
  </si>
  <si>
    <t xml:space="preserve">aids12</t>
  </si>
  <si>
    <t xml:space="preserve">Trupti Surve</t>
  </si>
  <si>
    <t xml:space="preserve">aids13</t>
  </si>
  <si>
    <t xml:space="preserve">Gauri Mhatre</t>
  </si>
  <si>
    <t xml:space="preserve">aids14</t>
  </si>
  <si>
    <t xml:space="preserve">Pallavi Tilak</t>
  </si>
  <si>
    <t xml:space="preserve">aids15</t>
  </si>
  <si>
    <t xml:space="preserve">Sahil Nair</t>
  </si>
  <si>
    <t xml:space="preserve">aids16</t>
  </si>
  <si>
    <t xml:space="preserve">Sneha Pandey</t>
  </si>
  <si>
    <t xml:space="preserve">aids17</t>
  </si>
  <si>
    <t xml:space="preserve">Trupti Shah</t>
  </si>
  <si>
    <t xml:space="preserve">aids18</t>
  </si>
  <si>
    <t xml:space="preserve">Shreya Chavan</t>
  </si>
  <si>
    <t xml:space="preserve">aids19</t>
  </si>
  <si>
    <t xml:space="preserve">Payal Lad</t>
  </si>
  <si>
    <t xml:space="preserve">aids20</t>
  </si>
  <si>
    <t xml:space="preserve">Snehal Deshmukh</t>
  </si>
  <si>
    <t xml:space="preserve">aids21</t>
  </si>
  <si>
    <t xml:space="preserve">Ishaan Rao</t>
  </si>
  <si>
    <t xml:space="preserve">aids22</t>
  </si>
  <si>
    <t xml:space="preserve">Shruti Pawar</t>
  </si>
  <si>
    <t xml:space="preserve">aids23</t>
  </si>
  <si>
    <t xml:space="preserve">Dhruv Mane</t>
  </si>
  <si>
    <t xml:space="preserve">aids24</t>
  </si>
  <si>
    <t xml:space="preserve">Komal Gaikwad</t>
  </si>
  <si>
    <t xml:space="preserve">aids25</t>
  </si>
  <si>
    <t xml:space="preserve">Shreya Sharma</t>
  </si>
  <si>
    <t xml:space="preserve">aids26</t>
  </si>
  <si>
    <t xml:space="preserve">Akash Sharma</t>
  </si>
  <si>
    <t xml:space="preserve">aids27</t>
  </si>
  <si>
    <t xml:space="preserve">Shreya Ghate</t>
  </si>
  <si>
    <t xml:space="preserve">aids28</t>
  </si>
  <si>
    <t xml:space="preserve">Tanishka Jadhav</t>
  </si>
  <si>
    <t xml:space="preserve">aids29</t>
  </si>
  <si>
    <t xml:space="preserve">Harshada Bhatt</t>
  </si>
  <si>
    <t xml:space="preserve">aids30</t>
  </si>
  <si>
    <t xml:space="preserve">Varun Mehta</t>
  </si>
  <si>
    <t xml:space="preserve">aids31</t>
  </si>
  <si>
    <t xml:space="preserve">Mihir Apte</t>
  </si>
  <si>
    <t xml:space="preserve">aids32</t>
  </si>
  <si>
    <t xml:space="preserve">Omkar Tambe</t>
  </si>
  <si>
    <t xml:space="preserve">aids33</t>
  </si>
  <si>
    <t xml:space="preserve">Tanishka Iyer</t>
  </si>
  <si>
    <t xml:space="preserve">aids34</t>
  </si>
  <si>
    <t xml:space="preserve">Kavya Gaikwad</t>
  </si>
  <si>
    <t xml:space="preserve">aids35</t>
  </si>
  <si>
    <t xml:space="preserve">Rahul Singh</t>
  </si>
  <si>
    <t xml:space="preserve">aids36</t>
  </si>
  <si>
    <t xml:space="preserve">Nikita Wagh</t>
  </si>
  <si>
    <t xml:space="preserve">aids37</t>
  </si>
  <si>
    <t xml:space="preserve">Vaishnavi Parab</t>
  </si>
  <si>
    <t xml:space="preserve">aids38</t>
  </si>
  <si>
    <t xml:space="preserve">Kunal Kadam</t>
  </si>
  <si>
    <t xml:space="preserve">aids39</t>
  </si>
  <si>
    <t xml:space="preserve">Saurabh Mishra</t>
  </si>
  <si>
    <t xml:space="preserve">aids40</t>
  </si>
  <si>
    <t xml:space="preserve">Kiran More</t>
  </si>
  <si>
    <t xml:space="preserve">aiml1</t>
  </si>
  <si>
    <t xml:space="preserve">Swati Parab</t>
  </si>
  <si>
    <t xml:space="preserve">aiml2</t>
  </si>
  <si>
    <t xml:space="preserve">Apoorva Nair</t>
  </si>
  <si>
    <t xml:space="preserve">aiml3</t>
  </si>
  <si>
    <t xml:space="preserve">Karan Sawant</t>
  </si>
  <si>
    <t xml:space="preserve">aiml4</t>
  </si>
  <si>
    <t xml:space="preserve">Sanket More</t>
  </si>
  <si>
    <t xml:space="preserve">aiml5</t>
  </si>
  <si>
    <t xml:space="preserve">Kiran Reddy</t>
  </si>
  <si>
    <t xml:space="preserve">aiml6</t>
  </si>
  <si>
    <t xml:space="preserve">Apoorva Sawant</t>
  </si>
  <si>
    <t xml:space="preserve">aiml7</t>
  </si>
  <si>
    <t xml:space="preserve">Sakshi Gaikwad</t>
  </si>
  <si>
    <t xml:space="preserve">aiml8</t>
  </si>
  <si>
    <t xml:space="preserve">Ketaki Bhosale</t>
  </si>
  <si>
    <t xml:space="preserve">aiml9</t>
  </si>
  <si>
    <t xml:space="preserve">Aarti Sharma</t>
  </si>
  <si>
    <t xml:space="preserve">aiml10</t>
  </si>
  <si>
    <t xml:space="preserve">Tejas Kamat</t>
  </si>
  <si>
    <t xml:space="preserve">ID</t>
  </si>
  <si>
    <t xml:space="preserve">Title</t>
  </si>
  <si>
    <t xml:space="preserve">Description</t>
  </si>
  <si>
    <t xml:space="preserve">Category</t>
  </si>
  <si>
    <t xml:space="preserve">Reported by (username)</t>
  </si>
  <si>
    <t xml:space="preserve">Student name</t>
  </si>
  <si>
    <t xml:space="preserve">Urgency (1-5)</t>
  </si>
  <si>
    <t xml:space="preserve">Severity (1-5)</t>
  </si>
  <si>
    <t xml:space="preserve">Safety critical</t>
  </si>
  <si>
    <t xml:space="preserve">Status</t>
  </si>
  <si>
    <t xml:space="preserve">Assigned to</t>
  </si>
  <si>
    <t xml:space="preserve">Admin note</t>
  </si>
  <si>
    <t xml:space="preserve">Days waiting</t>
  </si>
  <si>
    <t xml:space="preserve">Supporters (usernames)</t>
  </si>
  <si>
    <t xml:space="preserve">Votes</t>
  </si>
  <si>
    <t xml:space="preserve">Students in section</t>
  </si>
  <si>
    <t xml:space="preserve">Support %</t>
  </si>
  <si>
    <t xml:space="preserve">Priority score (%)</t>
  </si>
  <si>
    <t xml:space="preserve">Frequent power cuts in Room 204</t>
  </si>
  <si>
    <t xml:space="preserve">Power goes off many times a day in Room 204 and there is no backup for the lights.</t>
  </si>
  <si>
    <t xml:space="preserve">Electrical</t>
  </si>
  <si>
    <t xml:space="preserve">NO</t>
  </si>
  <si>
    <t xml:space="preserve">Maintenance Team</t>
  </si>
  <si>
    <t xml:space="preserve">Work has started on this issue.</t>
  </si>
  <si>
    <t xml:space="preserve">cse1;cse18;cse47;cse36;cse35;cse17;cse29;cse8;cse24</t>
  </si>
  <si>
    <t xml:space="preserve">Software not installed in CSE Lab 1</t>
  </si>
  <si>
    <t xml:space="preserve">Required IDE and Python packages are missing on many systems in CSE Lab 1.</t>
  </si>
  <si>
    <t xml:space="preserve">IT / Network</t>
  </si>
  <si>
    <t xml:space="preserve">IT Department</t>
  </si>
  <si>
    <t xml:space="preserve">cse2;cse1;cse11;cse40;cse48;cse21;cse18;cse29;cse8;cse16;cse25;cse6;cse28</t>
  </si>
  <si>
    <t xml:space="preserve">Ceiling fan not working in Room 204</t>
  </si>
  <si>
    <t xml:space="preserve">Two ceiling fans in Room 204 do not rotate, class is very hot in the afternoon.</t>
  </si>
  <si>
    <t xml:space="preserve">Resolved</t>
  </si>
  <si>
    <t xml:space="preserve">Issue has been fixed. Waiting for the reporter to confirm.</t>
  </si>
  <si>
    <t xml:space="preserve">cse3;cse7;cse38;cse41;cse18;cse22;cse29;cse48;cse39;cse21;cse16;cse40</t>
  </si>
  <si>
    <t xml:space="preserve">Wi-Fi keeps disconnecting in Room 204</t>
  </si>
  <si>
    <t xml:space="preserve">Wi-Fi drops every few minutes in Room 204, online tests and downloads fail.</t>
  </si>
  <si>
    <t xml:space="preserve">Assigned</t>
  </si>
  <si>
    <t xml:space="preserve">Assigned to the concerned team.</t>
  </si>
  <si>
    <t xml:space="preserve">cse4;cse35;cse28;cse18;cse3;cse37;cse41;cse48;cse50;cse31;cse20;cse49;cse44;cse15;cse30;cse12;cse24;cse21;cse39;cse11;cse5;cse29;cse34;cse9;cse1;cse8;cse46;cse25;cse36</t>
  </si>
  <si>
    <t xml:space="preserve">Tube lights flickering in Room 302</t>
  </si>
  <si>
    <t xml:space="preserve">Lights keep flickering in Room 302 and it strains the eyes while writing.</t>
  </si>
  <si>
    <t xml:space="preserve">cse5;cse48;cse42;cse9;cse44;cse23;cse27;cse43;cse29;cse41</t>
  </si>
  <si>
    <t xml:space="preserve">Wi-Fi keeps disconnecting in Room 401</t>
  </si>
  <si>
    <t xml:space="preserve">Wi-Fi drops every few minutes in Room 401, online tests and downloads fail.</t>
  </si>
  <si>
    <t xml:space="preserve">cse6;cse26;cse45;cse8;cse25;cse29;cse49</t>
  </si>
  <si>
    <t xml:space="preserve">Water leakage in washroom near Room 302</t>
  </si>
  <si>
    <t xml:space="preserve">Water leaks from the pipe all day and the floor stays wet and slippery.</t>
  </si>
  <si>
    <t xml:space="preserve">Facilities</t>
  </si>
  <si>
    <t xml:space="preserve">Submitted</t>
  </si>
  <si>
    <t xml:space="preserve">cse7;cse22;cse38;cse26;cse24;cse1;cse47;cse48;cse45;cse18;cse32;cse46;cse25;cse28;cse31;cse3;cse2;cse20;cse4;cse33;cse44;cse12;cse15;cse10;cse14;cse11;cse43;cse49</t>
  </si>
  <si>
    <t xml:space="preserve">Bonafide certificate delayed</t>
  </si>
  <si>
    <t xml:space="preserve">Bonafide certificate applied two weeks ago has not been issued yet.</t>
  </si>
  <si>
    <t xml:space="preserve">Administrative</t>
  </si>
  <si>
    <t xml:space="preserve">Frequent power cuts in Room 302</t>
  </si>
  <si>
    <t xml:space="preserve">Power goes off many times a day in Room 302 and there is no backup for the lights.</t>
  </si>
  <si>
    <t xml:space="preserve">Under Review</t>
  </si>
  <si>
    <t xml:space="preserve">Complaint is being reviewed by the admin.</t>
  </si>
  <si>
    <t xml:space="preserve">cse9;cse5;cse16;cse13</t>
  </si>
  <si>
    <t xml:space="preserve">Cannot login to college portal</t>
  </si>
  <si>
    <t xml:space="preserve">Student portal shows an error after entering the correct password.</t>
  </si>
  <si>
    <t xml:space="preserve">cse10;cse25</t>
  </si>
  <si>
    <t xml:space="preserve">Broken benches in Room 105</t>
  </si>
  <si>
    <t xml:space="preserve">Several benches in Room 105 are broken and students have to stand or share.</t>
  </si>
  <si>
    <t xml:space="preserve">Reopened</t>
  </si>
  <si>
    <t xml:space="preserve">Civil Department</t>
  </si>
  <si>
    <t xml:space="preserve">Reporter says the problem is not fixed.</t>
  </si>
  <si>
    <t xml:space="preserve">cse11;cse41;cse36;cse31;cse7;cse45;cse50;cse49;cse35;cse42;cse46;cse4;cse20</t>
  </si>
  <si>
    <t xml:space="preserve">Library printer out of ink</t>
  </si>
  <si>
    <t xml:space="preserve">Printer in the library has no ink, notes and assignments cannot be printed.</t>
  </si>
  <si>
    <t xml:space="preserve">cse12;cse28;cse16;cse8;cse46;cse5;cse7;cse47;cse39;cse26;cse3;cse9;cse30;cse37;cse2;cse20;cse50;cse25;cse43;cse45;cse31</t>
  </si>
  <si>
    <t xml:space="preserve">Ceiling fan not working in Room 401</t>
  </si>
  <si>
    <t xml:space="preserve">Two ceiling fans in Room 401 do not rotate, class is very hot in the afternoon.</t>
  </si>
  <si>
    <t xml:space="preserve">cse13;cse21</t>
  </si>
  <si>
    <t xml:space="preserve">Tube lights flickering in Room 305</t>
  </si>
  <si>
    <t xml:space="preserve">Lights keep flickering in Room 305 and it strains the eyes while writing.</t>
  </si>
  <si>
    <t xml:space="preserve">cse14;cse42;cse36</t>
  </si>
  <si>
    <t xml:space="preserve">Exam hall ticket error</t>
  </si>
  <si>
    <t xml:space="preserve">Name spelling on the hall ticket is wrong and needs correction before exams.</t>
  </si>
  <si>
    <t xml:space="preserve">cse15;cse27;cse47</t>
  </si>
  <si>
    <t xml:space="preserve">Broken window glass in Room 101</t>
  </si>
  <si>
    <t xml:space="preserve">Window glass in Room 101 is cracked and rain water comes inside.</t>
  </si>
  <si>
    <t xml:space="preserve">cse16;cse31</t>
  </si>
  <si>
    <t xml:space="preserve">Emergency exit blocked on third floor</t>
  </si>
  <si>
    <t xml:space="preserve">Old furniture is kept in front of the emergency exit on the third floor.</t>
  </si>
  <si>
    <t xml:space="preserve">Safety</t>
  </si>
  <si>
    <t xml:space="preserve">YES</t>
  </si>
  <si>
    <t xml:space="preserve">cse17;cse28;cse32;cse30;cse42;cse47;cse10;cse1;cse20;cse7;cse9;cse29;cse13</t>
  </si>
  <si>
    <t xml:space="preserve">Lab systems shut down suddenly in Computer Lab 3</t>
  </si>
  <si>
    <t xml:space="preserve">Systems in Computer Lab 3 restart on their own and unsaved programs are lost.</t>
  </si>
  <si>
    <t xml:space="preserve">cse18;cse49;cse31;cse35</t>
  </si>
  <si>
    <t xml:space="preserve">Power sockets not working in CSE Lab 2</t>
  </si>
  <si>
    <t xml:space="preserve">Most sockets near the benches in CSE Lab 2 give no power, laptops cannot be charged.</t>
  </si>
  <si>
    <t xml:space="preserve">cse19;cse14;cse22;cse11;cse46;cse20;cse2;cse7;cse13</t>
  </si>
  <si>
    <t xml:space="preserve">Classroom too noisy because of construction</t>
  </si>
  <si>
    <t xml:space="preserve">Construction work next to Room 105 makes it hard to hear during lectures.</t>
  </si>
  <si>
    <t xml:space="preserve">Academic</t>
  </si>
  <si>
    <t xml:space="preserve">cse20;cse5;cse25;cse27;cse50;cse1;cse49</t>
  </si>
  <si>
    <t xml:space="preserve">Frequent power cuts in Room 101</t>
  </si>
  <si>
    <t xml:space="preserve">Power goes off many times a day in Room 101 and there is no backup for the lights.</t>
  </si>
  <si>
    <t xml:space="preserve">Closed</t>
  </si>
  <si>
    <t xml:space="preserve">Fix confirmed by the reporter.</t>
  </si>
  <si>
    <t xml:space="preserve">cse21;cse6;cse18;cse37;cse15;cse13;cse23;cse17</t>
  </si>
  <si>
    <t xml:space="preserve">Power sockets not working in Computer Lab 3</t>
  </si>
  <si>
    <t xml:space="preserve">Most sockets near the benches in Computer Lab 3 give no power, laptops cannot be charged.</t>
  </si>
  <si>
    <t xml:space="preserve">cse22;cse36</t>
  </si>
  <si>
    <t xml:space="preserve">Tube lights flickering in Room 204</t>
  </si>
  <si>
    <t xml:space="preserve">Lights keep flickering in Room 204 and it strains the eyes while writing.</t>
  </si>
  <si>
    <t xml:space="preserve">cse23;cse36;cse5;cse46;cse15;cse31;cse37;cse24;cse9;cse11;cse10;cse13;cse45;cse17;cse8;cse26;cse38;cse32;cse25;cse7;cse34;cse50;cse6;cse12;cse16;cse3;cse21;cse20;cse49;cse44</t>
  </si>
  <si>
    <t xml:space="preserve">Frequent power cuts in Room 401</t>
  </si>
  <si>
    <t xml:space="preserve">Power goes off many times a day in Room 401 and there is no backup for the lights.</t>
  </si>
  <si>
    <t xml:space="preserve">cse24;cse36;cse4;cse37;cse23;cse15;cse18;cse32;cse42;cse3;cse20;cse10;cse45</t>
  </si>
  <si>
    <t xml:space="preserve">AC not cooling in CSE Lab 1</t>
  </si>
  <si>
    <t xml:space="preserve">AC in CSE Lab 1 makes noise but gives no cooling, systems heat up.</t>
  </si>
  <si>
    <t xml:space="preserve">cse25;cse47;cse7;cse14;cse20;cse8;cse17</t>
  </si>
  <si>
    <t xml:space="preserve">Ceiling fan not working in Room 305</t>
  </si>
  <si>
    <t xml:space="preserve">Two ceiling fans in Room 305 do not rotate, class is very hot in the afternoon.</t>
  </si>
  <si>
    <t xml:space="preserve">cse26;cse28;cse5;cse32;cse21;cse19;cse20;cse9;cse4;cse49;cse46;cse29;cse6</t>
  </si>
  <si>
    <t xml:space="preserve">Software not installed in Computer Lab 3</t>
  </si>
  <si>
    <t xml:space="preserve">Required IDE and Python packages are missing on many systems in Computer Lab 3.</t>
  </si>
  <si>
    <t xml:space="preserve">cse27;cse43;cse13;cse36;cse1;cse2;cse21;cse49;cse46;cse42;cse45;cse7;cse17;cse33;cse35;cse28;cse22;cse15;cse3;cse12;cse48;cse37;cse19;cse23;cse16;cse30;cse26;cse31;cse14;cse50;cse11;cse32;cse40;cse9;cse29;cse44</t>
  </si>
  <si>
    <t xml:space="preserve">Broken benches in Room 302</t>
  </si>
  <si>
    <t xml:space="preserve">Several benches in Room 302 are broken and students have to stand or share.</t>
  </si>
  <si>
    <t xml:space="preserve">Rejected</t>
  </si>
  <si>
    <t xml:space="preserve">Not a valid complaint after checking.</t>
  </si>
  <si>
    <t xml:space="preserve">cse28;cse6;cse42;cse43</t>
  </si>
  <si>
    <t xml:space="preserve">Ceiling fan not working in Room 302</t>
  </si>
  <si>
    <t xml:space="preserve">Two ceiling fans in Room 302 do not rotate, class is very hot in the afternoon.</t>
  </si>
  <si>
    <t xml:space="preserve">cse29;cse2;cse28;cse31;cse45;cse4;cse43;cse40;cse3;cse32;cse10;cse42;cse26;cse8;cse23;cse38;cse17;cse36;cse16;cse14;cse34;cse21;cse7;cse9;cse49;cse15;cse22;cse1;cse46;cse50;cse35;cse33;cse12;cse6;cse13;cse25</t>
  </si>
  <si>
    <t xml:space="preserve">Software not installed in CSE Lab 2</t>
  </si>
  <si>
    <t xml:space="preserve">Required IDE and Python packages are missing on many systems in CSE Lab 2.</t>
  </si>
  <si>
    <t xml:space="preserve">cse30;cse43;cse9;cse13;cse46;cse40;cse20;cse12;cse45;cse28;cse19</t>
  </si>
  <si>
    <t xml:space="preserve">Timetable clash for practical batches</t>
  </si>
  <si>
    <t xml:space="preserve">Two practical batches have been given the same slot in Computer Lab 3.</t>
  </si>
  <si>
    <t xml:space="preserve">Department Office</t>
  </si>
  <si>
    <t xml:space="preserve">cse31;cse28;cse37;cse50;cse13;cse6;cse26;cse25;cse24;cse14;cse40;cse36;cse38;cse33;cse17;cse21;cse16;cse22;cse46;cse48;cse7;cse43;cse9;cse39;cse3;cse15;cse27</t>
  </si>
  <si>
    <t xml:space="preserve">Lab computers very slow in CSE Lab 1</t>
  </si>
  <si>
    <t xml:space="preserve">Computers in CSE Lab 1 take around 10 minutes to start and hang while coding.</t>
  </si>
  <si>
    <t xml:space="preserve">cse32;cse15;cse20;cse41;cse27;cse30;cse46;cse3;cse18;cse19;cse6;cse44;cse43;cse45;cse22;cse5;cse25;cse34;cse28;cse24;cse11;cse14;cse40</t>
  </si>
  <si>
    <t xml:space="preserve">Canteen hygiene problem</t>
  </si>
  <si>
    <t xml:space="preserve">Tables and utensils in the canteen are not cleaned properly during lunch.</t>
  </si>
  <si>
    <t xml:space="preserve">Waiting</t>
  </si>
  <si>
    <t xml:space="preserve">Waiting for spare parts / approval.</t>
  </si>
  <si>
    <t xml:space="preserve">cse33;cse45</t>
  </si>
  <si>
    <t xml:space="preserve">Parking area has no lighting</t>
  </si>
  <si>
    <t xml:space="preserve">Two-wheeler parking is dark in the evening and feels unsafe after practical sessions.</t>
  </si>
  <si>
    <t xml:space="preserve">cse34;cse47;cse4;cse35;cse9</t>
  </si>
  <si>
    <t xml:space="preserve">Lab systems shut down suddenly in CSE Lab 1</t>
  </si>
  <si>
    <t xml:space="preserve">Systems in CSE Lab 1 restart on their own and unsaved programs are lost.</t>
  </si>
  <si>
    <t xml:space="preserve">cse35;cse21;cse38;cse15</t>
  </si>
  <si>
    <t xml:space="preserve">Projector not working in Room 401</t>
  </si>
  <si>
    <t xml:space="preserve">Projector in Room 401 switches off after a few minutes, lectures get interrupted.</t>
  </si>
  <si>
    <t xml:space="preserve">cse36;cse45;cse18;cse1</t>
  </si>
  <si>
    <t xml:space="preserve">Projector screen torn in Room 204</t>
  </si>
  <si>
    <t xml:space="preserve">Projector screen in Room 204 is torn and the slides are not clearly visible.</t>
  </si>
  <si>
    <t xml:space="preserve">cse37;cse11;cse38;cse18;cse31;cse48;cse30;cse34;cse5</t>
  </si>
  <si>
    <t xml:space="preserve">Water leakage in washroom near Room 101</t>
  </si>
  <si>
    <t xml:space="preserve">cse38;cse9;cse18;cse49;cse26;cse1;cse12;cse47;cse6;cse41;cse24</t>
  </si>
  <si>
    <t xml:space="preserve">Drinking water cooler not working</t>
  </si>
  <si>
    <t xml:space="preserve">No drinking water available on the first floor, cooler is switched off.</t>
  </si>
  <si>
    <t xml:space="preserve">cse39;cse1;cse49</t>
  </si>
  <si>
    <t xml:space="preserve">Fire extinguisher expired near CSE Lab 1</t>
  </si>
  <si>
    <t xml:space="preserve">Fire extinguisher near CSE Lab 1 shows an expired date, refilling is needed.</t>
  </si>
  <si>
    <t xml:space="preserve">cse40;cse5;cse4;cse2;cse47;cse3;cse42;cse21</t>
  </si>
  <si>
    <t xml:space="preserve">Washroom not cleaned on third floor</t>
  </si>
  <si>
    <t xml:space="preserve">Washroom on the third floor is not cleaned regularly and smells bad.</t>
  </si>
  <si>
    <t xml:space="preserve">cse41;cse2;cse50;cse32;cse4;cse49;cse38;cse7;cse29</t>
  </si>
  <si>
    <t xml:space="preserve">Power sockets not working in CSE Lab 1</t>
  </si>
  <si>
    <t xml:space="preserve">Most sockets near the benches in CSE Lab 1 give no power, laptops cannot be charged.</t>
  </si>
  <si>
    <t xml:space="preserve">cse42;cse13;cse39;cse10;cse32;cse50;cse15;cse3;cse24;cse29;cse44</t>
  </si>
  <si>
    <t xml:space="preserve">Emergency exit blocked on first floor</t>
  </si>
  <si>
    <t xml:space="preserve">Old furniture is kept in front of the emergency exit on the first floor.</t>
  </si>
  <si>
    <t xml:space="preserve">cse43;cse20;cse34</t>
  </si>
  <si>
    <t xml:space="preserve">Internet very slow in CSE Lab 2</t>
  </si>
  <si>
    <t xml:space="preserve">Internet speed in CSE Lab 2 is too low to download libraries or datasets.</t>
  </si>
  <si>
    <t xml:space="preserve">cse44;cse31;cse29;cse46;cse34;cse48;cse7;cse27;cse26;cse5;cse45;cse20;cse42</t>
  </si>
  <si>
    <t xml:space="preserve">Whiteboard markers not available in Room 204</t>
  </si>
  <si>
    <t xml:space="preserve">No markers in Room 204, teachers have to ask students to bring them.</t>
  </si>
  <si>
    <t xml:space="preserve">cse45;cse6;cse1;cse12</t>
  </si>
  <si>
    <t xml:space="preserve">Projector not working in Room 105</t>
  </si>
  <si>
    <t xml:space="preserve">Projector in Room 105 switches off after a few minutes, lectures get interrupted.</t>
  </si>
  <si>
    <t xml:space="preserve">Frequent power cuts in Room 305</t>
  </si>
  <si>
    <t xml:space="preserve">Power goes off many times a day in Room 305 and there is no backup for the lights.</t>
  </si>
  <si>
    <t xml:space="preserve">cse47;cse3;cse4;cse20;cse1;cse41;cse14</t>
  </si>
  <si>
    <t xml:space="preserve">AC not cooling in CSE Lab 2</t>
  </si>
  <si>
    <t xml:space="preserve">AC in CSE Lab 2 makes noise but gives no cooling, systems heat up.</t>
  </si>
  <si>
    <t xml:space="preserve">Internet very slow in CSE Lab 1</t>
  </si>
  <si>
    <t xml:space="preserve">Internet speed in CSE Lab 1 is too low to download libraries or datasets.</t>
  </si>
  <si>
    <t xml:space="preserve">cse49;cse11;cse25;cse13;cse29;cse6;cse28;cse32;cse7;cse22;cse23;cse12;cse38;cse16;cse3;cse45;cse9;cse27;cse46</t>
  </si>
  <si>
    <t xml:space="preserve">Wi-Fi keeps disconnecting in Room 105</t>
  </si>
  <si>
    <t xml:space="preserve">Wi-Fi drops every few minutes in Room 105, online tests and downloads fail.</t>
  </si>
  <si>
    <t xml:space="preserve">cse50;cse46</t>
  </si>
  <si>
    <t xml:space="preserve">aids1;aids12;aids15;aids34;aids6;aids14;aids36</t>
  </si>
  <si>
    <t xml:space="preserve">aids2;aids10;aids33;aids8;aids34;aids28;aids9;aids25;aids35;aids6;aids36;aids20;aids29;aids21;aids31;aids5;aids11;aids17;aids1;aids14;aids24;aids12;aids30</t>
  </si>
  <si>
    <t xml:space="preserve">Scholarship form status not shown</t>
  </si>
  <si>
    <t xml:space="preserve">Scholarship form submitted at the office shows no status on the portal.</t>
  </si>
  <si>
    <t xml:space="preserve">aids3;aids22;aids5;aids29</t>
  </si>
  <si>
    <t xml:space="preserve">aids4;aids16;aids23;aids8;aids27</t>
  </si>
  <si>
    <t xml:space="preserve">Washroom not cleaned on second floor</t>
  </si>
  <si>
    <t xml:space="preserve">Washroom on the second floor is not cleaned regularly and smells bad.</t>
  </si>
  <si>
    <t xml:space="preserve">aids5;aids35;aids11;aids22;aids39;aids31</t>
  </si>
  <si>
    <t xml:space="preserve">aids6;aids37;aids7;aids10;aids19;aids9;aids31;aids12;aids26;aids38;aids36;aids28;aids25;aids15;aids14;aids5;aids18;aids39</t>
  </si>
  <si>
    <t xml:space="preserve">Projector not working in Room 305</t>
  </si>
  <si>
    <t xml:space="preserve">Projector in Room 305 switches off after a few minutes, lectures get interrupted.</t>
  </si>
  <si>
    <t xml:space="preserve">aids7;aids13;aids1;aids35;aids10;aids21;aids11</t>
  </si>
  <si>
    <t xml:space="preserve">Water leakage in washroom near Room 401</t>
  </si>
  <si>
    <t xml:space="preserve">aids8;aids2;aids20;aids10;aids27;aids12;aids35</t>
  </si>
  <si>
    <t xml:space="preserve">Broken window glass in Room 305</t>
  </si>
  <si>
    <t xml:space="preserve">Window glass in Room 305 is cracked and rain water comes inside.</t>
  </si>
  <si>
    <t xml:space="preserve">aids9;aids31;aids2</t>
  </si>
  <si>
    <t xml:space="preserve">Ceiling fan not working in Room 101</t>
  </si>
  <si>
    <t xml:space="preserve">Two ceiling fans in Room 101 do not rotate, class is very hot in the afternoon.</t>
  </si>
  <si>
    <t xml:space="preserve">aids10;aids40;aids25;aids3;aids26;aids4;aids8;aids30;aids1;aids11;aids36;aids12;aids31;aids16;aids19;aids2;aids29;aids35;aids24;aids22;aids5;aids34;aids6;aids14;aids13;aids28;aids17;aids7</t>
  </si>
  <si>
    <t xml:space="preserve">Projector screen torn in Room 302</t>
  </si>
  <si>
    <t xml:space="preserve">Projector screen in Room 302 is torn and the slides are not clearly visible.</t>
  </si>
  <si>
    <t xml:space="preserve">aids11;aids14;aids32;aids35;aids9;aids31;aids27;aids3</t>
  </si>
  <si>
    <t xml:space="preserve">Whiteboard markers not available in Room 101</t>
  </si>
  <si>
    <t xml:space="preserve">No markers in Room 101, teachers have to ask students to bring them.</t>
  </si>
  <si>
    <t xml:space="preserve">aids12;aids9;aids7;aids27;aids39;aids13;aids37;aids14;aids24;aids34;aids2;aids16;aids31;aids1;aids6;aids5;aids35;aids19;aids32;aids20;aids23;aids11;aids25;aids40;aids8</t>
  </si>
  <si>
    <t xml:space="preserve">Lab equipment shortage in Computer Lab 2</t>
  </si>
  <si>
    <t xml:space="preserve">There are not enough working kits in Computer Lab 2, 4 students share one system.</t>
  </si>
  <si>
    <t xml:space="preserve">aids13;aids20</t>
  </si>
  <si>
    <t xml:space="preserve">aids14;aids22;aids40;aids3;aids5;aids13;aids25;aids8;aids4</t>
  </si>
  <si>
    <t xml:space="preserve">Loose switch board in Room 401</t>
  </si>
  <si>
    <t xml:space="preserve">Switch board in Room 401 is loose and sparks when the plug is inserted.</t>
  </si>
  <si>
    <t xml:space="preserve">aids15;aids4;aids29</t>
  </si>
  <si>
    <t xml:space="preserve">Wi-Fi keeps disconnecting in Room 305</t>
  </si>
  <si>
    <t xml:space="preserve">Wi-Fi drops every few minutes in Room 305, online tests and downloads fail.</t>
  </si>
  <si>
    <t xml:space="preserve">aids16;aids33;aids5</t>
  </si>
  <si>
    <t xml:space="preserve">Washroom not cleaned on first floor</t>
  </si>
  <si>
    <t xml:space="preserve">Washroom on the first floor is not cleaned regularly and smells bad.</t>
  </si>
  <si>
    <t xml:space="preserve">aids17;aids32;aids5;aids8;aids11;aids19;aids15;aids16</t>
  </si>
  <si>
    <t xml:space="preserve">Software not installed in Data Science Lab</t>
  </si>
  <si>
    <t xml:space="preserve">Required IDE and Python packages are missing on many systems in Data Science Lab.</t>
  </si>
  <si>
    <t xml:space="preserve">aids18;aids5;aids28;aids23;aids37;aids25;aids3</t>
  </si>
  <si>
    <t xml:space="preserve">No drinking water available on the third floor, cooler is switched off.</t>
  </si>
  <si>
    <t xml:space="preserve">aids19;aids37;aids28;aids36;aids2;aids7;aids22</t>
  </si>
  <si>
    <t xml:space="preserve">aids20;aids7;aids26;aids5</t>
  </si>
  <si>
    <t xml:space="preserve">Ceiling fan not working in Room 105</t>
  </si>
  <si>
    <t xml:space="preserve">Two ceiling fans in Room 105 do not rotate, class is very hot in the afternoon.</t>
  </si>
  <si>
    <t xml:space="preserve">aids22;aids2;aids10;aids12;aids24;aids1;aids11;aids7;aids37;aids28;aids6;aids36;aids38;aids33;aids4;aids3;aids9;aids18;aids5;aids20;aids25;aids27;aids17;aids34;aids39;aids40;aids16;aids30;aids21;aids26</t>
  </si>
  <si>
    <t xml:space="preserve">Lab systems shut down suddenly in Computer Lab 2</t>
  </si>
  <si>
    <t xml:space="preserve">Systems in Computer Lab 2 restart on their own and unsaved programs are lost.</t>
  </si>
  <si>
    <t xml:space="preserve">aids23;aids34;aids27;aids5;aids15;aids25;aids9;aids8;aids35</t>
  </si>
  <si>
    <t xml:space="preserve">Admin Office</t>
  </si>
  <si>
    <t xml:space="preserve">aids24;aids14;aids35</t>
  </si>
  <si>
    <t xml:space="preserve">AC not cooling in AIDS Lab</t>
  </si>
  <si>
    <t xml:space="preserve">AC in AIDS Lab makes noise but gives no cooling, systems heat up.</t>
  </si>
  <si>
    <t xml:space="preserve">aids25;aids26;aids14;aids33;aids36;aids31;aids38;aids27;aids3;aids10</t>
  </si>
  <si>
    <t xml:space="preserve">aids26;aids24;aids20;aids11;aids19;aids25;aids35;aids21</t>
  </si>
  <si>
    <t xml:space="preserve">Wi-Fi keeps disconnecting in Room 302</t>
  </si>
  <si>
    <t xml:space="preserve">Wi-Fi drops every few minutes in Room 302, online tests and downloads fail.</t>
  </si>
  <si>
    <t xml:space="preserve">aids27;aids10;aids17;aids9</t>
  </si>
  <si>
    <t xml:space="preserve">Broken window glass in Room 302</t>
  </si>
  <si>
    <t xml:space="preserve">Window glass in Room 302 is cracked and rain water comes inside.</t>
  </si>
  <si>
    <t xml:space="preserve">aids28;aids29;aids18;aids5;aids11;aids33;aids20;aids17;aids30</t>
  </si>
  <si>
    <t xml:space="preserve">Not enough reference books in library</t>
  </si>
  <si>
    <t xml:space="preserve">Reference books for the current semester are not available for all students.</t>
  </si>
  <si>
    <t xml:space="preserve">aids29;aids3;aids18;aids31;aids6;aids15;aids36;aids26;aids4;aids22;aids12;aids11;aids1;aids10;aids19;aids13;aids38;aids35;aids28;aids34;aids14</t>
  </si>
  <si>
    <t xml:space="preserve">Internet very slow in Computer Lab 2</t>
  </si>
  <si>
    <t xml:space="preserve">Internet speed in Computer Lab 2 is too low to download libraries or datasets.</t>
  </si>
  <si>
    <t xml:space="preserve">aids31;aids15;aids40;aids14;aids34;aids30;aids11;aids25;aids32;aids39;aids4;aids1;aids20;aids37;aids28;aids13;aids10;aids9;aids24;aids27;aids26;aids22</t>
  </si>
  <si>
    <t xml:space="preserve">Lab computers very slow in Computer Lab 2</t>
  </si>
  <si>
    <t xml:space="preserve">Computers in Computer Lab 2 take around 10 minutes to start and hang while coding.</t>
  </si>
  <si>
    <t xml:space="preserve">aids32;aids3;aids16;aids30;aids12;aids2;aids21;aids27;aids39;aids34;aids28;aids5;aids31;aids14;aids13;aids22;aids1;aids33;aids11;aids26;aids17;aids19;aids35;aids37;aids40;aids7;aids20;aids29</t>
  </si>
  <si>
    <t xml:space="preserve">Exposed wires near staircase of ground floor</t>
  </si>
  <si>
    <t xml:space="preserve">Electric wires are hanging out of the wall near the staircase, dangerous for students.</t>
  </si>
  <si>
    <t xml:space="preserve">aids33;aids32;aids37;aids35;aids12;aids3</t>
  </si>
  <si>
    <t xml:space="preserve">Broken benches in Room 101</t>
  </si>
  <si>
    <t xml:space="preserve">Several benches in Room 101 are broken and students have to stand or share.</t>
  </si>
  <si>
    <t xml:space="preserve">aids34;aids16;aids38;aids28;aids11;aids12;aids3;aids29</t>
  </si>
  <si>
    <t xml:space="preserve">Lab systems shut down suddenly in Data Science Lab</t>
  </si>
  <si>
    <t xml:space="preserve">Systems in Data Science Lab restart on their own and unsaved programs are lost.</t>
  </si>
  <si>
    <t xml:space="preserve">aids35;aids22;aids16;aids32;aids6</t>
  </si>
  <si>
    <t xml:space="preserve">Fees receipt not updated in portal</t>
  </si>
  <si>
    <t xml:space="preserve">Fees paid online are not reflecting in the portal, receipt is not downloadable.</t>
  </si>
  <si>
    <t xml:space="preserve">aids36;aids2</t>
  </si>
  <si>
    <t xml:space="preserve">Lab computers very slow in Data Science Lab</t>
  </si>
  <si>
    <t xml:space="preserve">Computers in Data Science Lab take around 10 minutes to start and hang while coding.</t>
  </si>
  <si>
    <t xml:space="preserve">aids37;aids34;aids32;aids27;aids2;aids36;aids12;aids33;aids9</t>
  </si>
  <si>
    <t xml:space="preserve">AC not cooling in Data Science Lab</t>
  </si>
  <si>
    <t xml:space="preserve">AC in Data Science Lab makes noise but gives no cooling, systems heat up.</t>
  </si>
  <si>
    <t xml:space="preserve">aids38;aids1;aids32</t>
  </si>
  <si>
    <t xml:space="preserve">Power sockets not working in Data Science Lab</t>
  </si>
  <si>
    <t xml:space="preserve">Most sockets near the benches in Data Science Lab give no power, laptops cannot be charged.</t>
  </si>
  <si>
    <t xml:space="preserve">aids40;aids28</t>
  </si>
  <si>
    <t xml:space="preserve">aiml1;aiml10;aiml6</t>
  </si>
  <si>
    <t xml:space="preserve">AC not cooling in Computer Lab 4</t>
  </si>
  <si>
    <t xml:space="preserve">AC in Computer Lab 4 makes noise but gives no cooling, systems heat up.</t>
  </si>
  <si>
    <t xml:space="preserve">aiml2;aiml9</t>
  </si>
  <si>
    <t xml:space="preserve">Lab systems shut down suddenly in AIML Lab</t>
  </si>
  <si>
    <t xml:space="preserve">Systems in AIML Lab restart on their own and unsaved programs are lost.</t>
  </si>
  <si>
    <t xml:space="preserve">aiml3;aiml1;aiml8;aiml7;aiml2;aiml4;aiml6</t>
  </si>
  <si>
    <t xml:space="preserve">aiml4;aiml9</t>
  </si>
  <si>
    <t xml:space="preserve">aiml5;aiml6;aiml8</t>
  </si>
  <si>
    <t xml:space="preserve">Software not installed in AIML Lab</t>
  </si>
  <si>
    <t xml:space="preserve">Required IDE and Python packages are missing on many systems in AIML Lab.</t>
  </si>
  <si>
    <t xml:space="preserve">aiml6;aiml8;aiml5</t>
  </si>
  <si>
    <t xml:space="preserve">Lab equipment shortage in Computer Lab 4</t>
  </si>
  <si>
    <t xml:space="preserve">There are not enough working kits in Computer Lab 4, 4 students share one system.</t>
  </si>
  <si>
    <t xml:space="preserve">aiml7;aiml4</t>
  </si>
  <si>
    <t xml:space="preserve">aiml9;aiml8;aiml10</t>
  </si>
  <si>
    <t xml:space="preserve">aiml10;aiml2;aiml5;aiml1;aiml6;aiml3;aiml9</t>
  </si>
  <si>
    <t xml:space="preserve">Part of the score</t>
  </si>
  <si>
    <t xml:space="preserve">Weight</t>
  </si>
  <si>
    <t xml:space="preserve">How it is converted to 0-100</t>
  </si>
  <si>
    <t xml:space="preserve">Severity</t>
  </si>
  <si>
    <t xml:space="preserve">severity (1-5) x 20</t>
  </si>
  <si>
    <t xml:space="preserve">votes / students of the section x 100</t>
  </si>
  <si>
    <t xml:space="preserve">Urgency</t>
  </si>
  <si>
    <t xml:space="preserve">urgency (1-5) x 20</t>
  </si>
  <si>
    <t xml:space="preserve">Waiting time</t>
  </si>
  <si>
    <t xml:space="preserve">days waiting x 100 / 30, maximum 100</t>
  </si>
  <si>
    <t xml:space="preserve">Total (must be 100%)</t>
  </si>
  <si>
    <t xml:space="preserve">Maximum waiting days</t>
  </si>
  <si>
    <t xml:space="preserve">After this many days the waiting part is already 100</t>
  </si>
  <si>
    <t xml:space="preserve">Score = 0.35 x Severity + 0.35 x Support % + 0.20 x Urgency + 0.10 x Waiting. Score is a percentage; 100% only if every part is at its maximum. Safety critical complaints keep their real score and are listed first.</t>
  </si>
  <si>
    <t xml:space="preserve">Support % uses the students of the SECTION, so AIML (10 students) is treated as fairly as CSE (50 students).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</si>
</sst>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6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3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</row>
    <row r="2" customFormat="false" ht="15" hidden="false" customHeight="false" outlineLevel="0" collapsed="false">
      <c r="A2" s="3" t="s">
        <v>24</v>
      </c>
      <c r="B2" s="2" t="n">
        <f aca="false">INDEX(Sections!$B$2:$B$4,MATCH(A2,Sections!$A$2:$A$4,0))</f>
        <v>50</v>
      </c>
      <c r="C2" s="2" t="n">
        <f aca="false">COUNTIF(Complaints!$E$2:$E$101,A2)</f>
        <v>50</v>
      </c>
      <c r="D2" s="5" t="n">
        <f aca="false">C2/B2</f>
        <v>1</v>
      </c>
      <c r="E2" s="2" t="n">
        <f aca="false">C2-F2-G2-COUNTIFS(Complaints!$E$2:$E$101,A2,Complaints!$K$2:$K$101,"Rejected")</f>
        <v>31</v>
      </c>
      <c r="F2" s="2" t="n">
        <f aca="false">COUNTIFS(Complaints!$E$2:$E$101,A2,Complaints!$K$2:$K$101,"In Progress")</f>
        <v>7</v>
      </c>
      <c r="G2" s="2" t="n">
        <f aca="false">COUNTIFS(Complaints!$E$2:$E$101,A2,Complaints!$K$2:$K$101,"Resolved")+COUNTIFS(Complaints!$E$2:$E$101,A2,Complaints!$K$2:$K$101,"Closed")</f>
        <v>10</v>
      </c>
      <c r="H2" s="2" t="n">
        <f aca="false">COUNTIFS(Complaints!$E$2:$E$101,A2,Complaints!$J$2:$J$101,"YES")</f>
        <v>2</v>
      </c>
      <c r="I2" s="6" t="n">
        <f aca="false">AVERAGEIF(Complaints!$E$2:$E$101,A2,Complaints!$R$2:$R$101)</f>
        <v>0.2072</v>
      </c>
    </row>
    <row r="3" customFormat="false" ht="15" hidden="false" customHeight="false" outlineLevel="0" collapsed="false">
      <c r="A3" s="3" t="s">
        <v>25</v>
      </c>
      <c r="B3" s="2" t="n">
        <f aca="false">INDEX(Sections!$B$2:$B$4,MATCH(A3,Sections!$A$2:$A$4,0))</f>
        <v>40</v>
      </c>
      <c r="C3" s="2" t="n">
        <f aca="false">COUNTIF(Complaints!$E$2:$E$101,A3)</f>
        <v>40</v>
      </c>
      <c r="D3" s="5" t="n">
        <f aca="false">C3/B3</f>
        <v>1</v>
      </c>
      <c r="E3" s="2" t="n">
        <f aca="false">C3-F3-G3-COUNTIFS(Complaints!$E$2:$E$101,A3,Complaints!$K$2:$K$101,"Rejected")</f>
        <v>25</v>
      </c>
      <c r="F3" s="2" t="n">
        <f aca="false">COUNTIFS(Complaints!$E$2:$E$101,A3,Complaints!$K$2:$K$101,"In Progress")</f>
        <v>7</v>
      </c>
      <c r="G3" s="2" t="n">
        <f aca="false">COUNTIFS(Complaints!$E$2:$E$101,A3,Complaints!$K$2:$K$101,"Resolved")+COUNTIFS(Complaints!$E$2:$E$101,A3,Complaints!$K$2:$K$101,"Closed")</f>
        <v>7</v>
      </c>
      <c r="H3" s="2" t="n">
        <f aca="false">COUNTIFS(Complaints!$E$2:$E$101,A3,Complaints!$J$2:$J$101,"YES")</f>
        <v>1</v>
      </c>
      <c r="I3" s="6" t="n">
        <f aca="false">AVERAGEIF(Complaints!$E$2:$E$101,A3,Complaints!$R$2:$R$101)</f>
        <v>0.22875</v>
      </c>
    </row>
    <row r="4" customFormat="false" ht="15" hidden="false" customHeight="false" outlineLevel="0" collapsed="false">
      <c r="A4" s="3" t="s">
        <v>26</v>
      </c>
      <c r="B4" s="2" t="n">
        <f aca="false">INDEX(Sections!$B$2:$B$4,MATCH(A4,Sections!$A$2:$A$4,0))</f>
        <v>10</v>
      </c>
      <c r="C4" s="2" t="n">
        <f aca="false">COUNTIF(Complaints!$E$2:$E$101,A4)</f>
        <v>10</v>
      </c>
      <c r="D4" s="5" t="n">
        <f aca="false">C4/B4</f>
        <v>1</v>
      </c>
      <c r="E4" s="2" t="n">
        <f aca="false">C4-F4-G4-COUNTIFS(Complaints!$E$2:$E$101,A4,Complaints!$K$2:$K$101,"Rejected")</f>
        <v>7</v>
      </c>
      <c r="F4" s="2" t="n">
        <f aca="false">COUNTIFS(Complaints!$E$2:$E$101,A4,Complaints!$K$2:$K$101,"In Progress")</f>
        <v>2</v>
      </c>
      <c r="G4" s="2" t="n">
        <f aca="false">COUNTIFS(Complaints!$E$2:$E$101,A4,Complaints!$K$2:$K$101,"Resolved")+COUNTIFS(Complaints!$E$2:$E$101,A4,Complaints!$K$2:$K$101,"Closed")</f>
        <v>1</v>
      </c>
      <c r="H4" s="2" t="n">
        <f aca="false">COUNTIFS(Complaints!$E$2:$E$101,A4,Complaints!$J$2:$J$101,"YES")</f>
        <v>0</v>
      </c>
      <c r="I4" s="6" t="n">
        <f aca="false">AVERAGEIF(Complaints!$E$2:$E$101,A4,Complaints!$R$2:$R$101)</f>
        <v>0.33</v>
      </c>
    </row>
    <row r="5" customFormat="false" ht="15" hidden="false" customHeight="false" outlineLevel="0" collapsed="false">
      <c r="A5" s="3" t="s">
        <v>27</v>
      </c>
      <c r="B5" s="3" t="n">
        <f aca="false">SUM(B2:B4)</f>
        <v>100</v>
      </c>
      <c r="C5" s="3" t="n">
        <f aca="false">SUM(C2:C4)</f>
        <v>100</v>
      </c>
      <c r="D5" s="7" t="n">
        <f aca="false">C5/B5</f>
        <v>1</v>
      </c>
      <c r="E5" s="3" t="n">
        <f aca="false">SUM(E2:E4)</f>
        <v>63</v>
      </c>
      <c r="F5" s="3" t="n">
        <f aca="false">SUM(F2:F4)</f>
        <v>16</v>
      </c>
      <c r="G5" s="3" t="n">
        <f aca="false">SUM(G2:G4)</f>
        <v>18</v>
      </c>
      <c r="H5" s="3" t="n">
        <f aca="false">SUM(H2:H4)</f>
        <v>3</v>
      </c>
    </row>
    <row r="7" customFormat="false" ht="15" hidden="false" customHeight="false" outlineLevel="0" collapsed="false">
      <c r="A7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15</v>
      </c>
      <c r="B1" s="4" t="s">
        <v>29</v>
      </c>
      <c r="C1" s="4" t="s">
        <v>30</v>
      </c>
      <c r="D1" s="4" t="s">
        <v>31</v>
      </c>
    </row>
    <row r="2" customFormat="false" ht="15" hidden="false" customHeight="false" outlineLevel="0" collapsed="false">
      <c r="A2" s="3" t="s">
        <v>24</v>
      </c>
      <c r="B2" s="8" t="n">
        <v>50</v>
      </c>
      <c r="C2" s="2" t="n">
        <f aca="false">COUNTIF(Students!$C$2:$C$101,A2)</f>
        <v>50</v>
      </c>
      <c r="D2" s="2" t="str">
        <f aca="false">IF(B2=C2,"OK","MISMATCH")</f>
        <v>OK</v>
      </c>
    </row>
    <row r="3" customFormat="false" ht="15" hidden="false" customHeight="false" outlineLevel="0" collapsed="false">
      <c r="A3" s="3" t="s">
        <v>25</v>
      </c>
      <c r="B3" s="8" t="n">
        <v>40</v>
      </c>
      <c r="C3" s="2" t="n">
        <f aca="false">COUNTIF(Students!$C$2:$C$101,A3)</f>
        <v>40</v>
      </c>
      <c r="D3" s="2" t="str">
        <f aca="false">IF(B3=C3,"OK","MISMATCH")</f>
        <v>OK</v>
      </c>
    </row>
    <row r="4" customFormat="false" ht="15" hidden="false" customHeight="false" outlineLevel="0" collapsed="false">
      <c r="A4" s="3" t="s">
        <v>26</v>
      </c>
      <c r="B4" s="8" t="n">
        <v>10</v>
      </c>
      <c r="C4" s="2" t="n">
        <f aca="false">COUNTIF(Students!$C$2:$C$101,A4)</f>
        <v>10</v>
      </c>
      <c r="D4" s="2" t="str">
        <f aca="false">IF(B4=C4,"OK","MISMATCH")</f>
        <v>OK</v>
      </c>
    </row>
    <row r="5" customFormat="false" ht="15" hidden="false" customHeight="false" outlineLevel="0" collapsed="false">
      <c r="A5" s="3" t="s">
        <v>27</v>
      </c>
      <c r="B5" s="3" t="n">
        <f aca="false">SUM(B2:B4)</f>
        <v>100</v>
      </c>
      <c r="C5" s="3" t="n">
        <f aca="false">SUM(C2:C4)</f>
        <v>100</v>
      </c>
    </row>
    <row r="7" customFormat="false" ht="15" hidden="false" customHeight="false" outlineLevel="0" collapsed="false">
      <c r="A7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4" t="s">
        <v>33</v>
      </c>
      <c r="B1" s="4" t="s">
        <v>34</v>
      </c>
      <c r="C1" s="4" t="s">
        <v>15</v>
      </c>
      <c r="D1" s="4" t="s">
        <v>35</v>
      </c>
      <c r="E1" s="4" t="s">
        <v>36</v>
      </c>
    </row>
    <row r="2" customFormat="false" ht="15" hidden="false" customHeight="false" outlineLevel="0" collapsed="false">
      <c r="A2" s="8" t="s">
        <v>37</v>
      </c>
      <c r="B2" s="8" t="s">
        <v>38</v>
      </c>
      <c r="C2" s="8" t="s">
        <v>24</v>
      </c>
      <c r="D2" s="2" t="s">
        <v>39</v>
      </c>
      <c r="E2" s="2" t="n">
        <f aca="false">COUNTIF(Complaints!$F$2:$F$101,A2)</f>
        <v>1</v>
      </c>
    </row>
    <row r="3" customFormat="false" ht="15" hidden="false" customHeight="false" outlineLevel="0" collapsed="false">
      <c r="A3" s="8" t="s">
        <v>40</v>
      </c>
      <c r="B3" s="8" t="s">
        <v>41</v>
      </c>
      <c r="C3" s="8" t="s">
        <v>24</v>
      </c>
      <c r="D3" s="2" t="s">
        <v>39</v>
      </c>
      <c r="E3" s="2" t="n">
        <f aca="false">COUNTIF(Complaints!$F$2:$F$101,A3)</f>
        <v>1</v>
      </c>
    </row>
    <row r="4" customFormat="false" ht="15" hidden="false" customHeight="false" outlineLevel="0" collapsed="false">
      <c r="A4" s="8" t="s">
        <v>42</v>
      </c>
      <c r="B4" s="8" t="s">
        <v>43</v>
      </c>
      <c r="C4" s="8" t="s">
        <v>24</v>
      </c>
      <c r="D4" s="2" t="s">
        <v>39</v>
      </c>
      <c r="E4" s="2" t="n">
        <f aca="false">COUNTIF(Complaints!$F$2:$F$101,A4)</f>
        <v>1</v>
      </c>
    </row>
    <row r="5" customFormat="false" ht="15" hidden="false" customHeight="false" outlineLevel="0" collapsed="false">
      <c r="A5" s="8" t="s">
        <v>44</v>
      </c>
      <c r="B5" s="8" t="s">
        <v>45</v>
      </c>
      <c r="C5" s="8" t="s">
        <v>24</v>
      </c>
      <c r="D5" s="2" t="s">
        <v>39</v>
      </c>
      <c r="E5" s="2" t="n">
        <f aca="false">COUNTIF(Complaints!$F$2:$F$101,A5)</f>
        <v>1</v>
      </c>
    </row>
    <row r="6" customFormat="false" ht="15" hidden="false" customHeight="false" outlineLevel="0" collapsed="false">
      <c r="A6" s="8" t="s">
        <v>46</v>
      </c>
      <c r="B6" s="8" t="s">
        <v>47</v>
      </c>
      <c r="C6" s="8" t="s">
        <v>24</v>
      </c>
      <c r="D6" s="2" t="s">
        <v>39</v>
      </c>
      <c r="E6" s="2" t="n">
        <f aca="false">COUNTIF(Complaints!$F$2:$F$101,A6)</f>
        <v>1</v>
      </c>
    </row>
    <row r="7" customFormat="false" ht="15" hidden="false" customHeight="false" outlineLevel="0" collapsed="false">
      <c r="A7" s="8" t="s">
        <v>48</v>
      </c>
      <c r="B7" s="8" t="s">
        <v>49</v>
      </c>
      <c r="C7" s="8" t="s">
        <v>24</v>
      </c>
      <c r="D7" s="2" t="s">
        <v>39</v>
      </c>
      <c r="E7" s="2" t="n">
        <f aca="false">COUNTIF(Complaints!$F$2:$F$101,A7)</f>
        <v>1</v>
      </c>
    </row>
    <row r="8" customFormat="false" ht="15" hidden="false" customHeight="false" outlineLevel="0" collapsed="false">
      <c r="A8" s="8" t="s">
        <v>50</v>
      </c>
      <c r="B8" s="8" t="s">
        <v>51</v>
      </c>
      <c r="C8" s="8" t="s">
        <v>24</v>
      </c>
      <c r="D8" s="2" t="s">
        <v>39</v>
      </c>
      <c r="E8" s="2" t="n">
        <f aca="false">COUNTIF(Complaints!$F$2:$F$101,A8)</f>
        <v>1</v>
      </c>
    </row>
    <row r="9" customFormat="false" ht="15" hidden="false" customHeight="false" outlineLevel="0" collapsed="false">
      <c r="A9" s="8" t="s">
        <v>52</v>
      </c>
      <c r="B9" s="8" t="s">
        <v>53</v>
      </c>
      <c r="C9" s="8" t="s">
        <v>24</v>
      </c>
      <c r="D9" s="2" t="s">
        <v>39</v>
      </c>
      <c r="E9" s="2" t="n">
        <f aca="false">COUNTIF(Complaints!$F$2:$F$101,A9)</f>
        <v>1</v>
      </c>
    </row>
    <row r="10" customFormat="false" ht="15" hidden="false" customHeight="false" outlineLevel="0" collapsed="false">
      <c r="A10" s="8" t="s">
        <v>54</v>
      </c>
      <c r="B10" s="8" t="s">
        <v>55</v>
      </c>
      <c r="C10" s="8" t="s">
        <v>24</v>
      </c>
      <c r="D10" s="2" t="s">
        <v>39</v>
      </c>
      <c r="E10" s="2" t="n">
        <f aca="false">COUNTIF(Complaints!$F$2:$F$101,A10)</f>
        <v>1</v>
      </c>
    </row>
    <row r="11" customFormat="false" ht="15" hidden="false" customHeight="false" outlineLevel="0" collapsed="false">
      <c r="A11" s="8" t="s">
        <v>56</v>
      </c>
      <c r="B11" s="8" t="s">
        <v>57</v>
      </c>
      <c r="C11" s="8" t="s">
        <v>24</v>
      </c>
      <c r="D11" s="2" t="s">
        <v>39</v>
      </c>
      <c r="E11" s="2" t="n">
        <f aca="false">COUNTIF(Complaints!$F$2:$F$101,A11)</f>
        <v>1</v>
      </c>
    </row>
    <row r="12" customFormat="false" ht="15" hidden="false" customHeight="false" outlineLevel="0" collapsed="false">
      <c r="A12" s="8" t="s">
        <v>58</v>
      </c>
      <c r="B12" s="8" t="s">
        <v>59</v>
      </c>
      <c r="C12" s="8" t="s">
        <v>24</v>
      </c>
      <c r="D12" s="2" t="s">
        <v>39</v>
      </c>
      <c r="E12" s="2" t="n">
        <f aca="false">COUNTIF(Complaints!$F$2:$F$101,A12)</f>
        <v>1</v>
      </c>
    </row>
    <row r="13" customFormat="false" ht="15" hidden="false" customHeight="false" outlineLevel="0" collapsed="false">
      <c r="A13" s="8" t="s">
        <v>60</v>
      </c>
      <c r="B13" s="8" t="s">
        <v>61</v>
      </c>
      <c r="C13" s="8" t="s">
        <v>24</v>
      </c>
      <c r="D13" s="2" t="s">
        <v>39</v>
      </c>
      <c r="E13" s="2" t="n">
        <f aca="false">COUNTIF(Complaints!$F$2:$F$101,A13)</f>
        <v>1</v>
      </c>
    </row>
    <row r="14" customFormat="false" ht="15" hidden="false" customHeight="false" outlineLevel="0" collapsed="false">
      <c r="A14" s="8" t="s">
        <v>62</v>
      </c>
      <c r="B14" s="8" t="s">
        <v>63</v>
      </c>
      <c r="C14" s="8" t="s">
        <v>24</v>
      </c>
      <c r="D14" s="2" t="s">
        <v>39</v>
      </c>
      <c r="E14" s="2" t="n">
        <f aca="false">COUNTIF(Complaints!$F$2:$F$101,A14)</f>
        <v>1</v>
      </c>
    </row>
    <row r="15" customFormat="false" ht="15" hidden="false" customHeight="false" outlineLevel="0" collapsed="false">
      <c r="A15" s="8" t="s">
        <v>64</v>
      </c>
      <c r="B15" s="8" t="s">
        <v>65</v>
      </c>
      <c r="C15" s="8" t="s">
        <v>24</v>
      </c>
      <c r="D15" s="2" t="s">
        <v>39</v>
      </c>
      <c r="E15" s="2" t="n">
        <f aca="false">COUNTIF(Complaints!$F$2:$F$101,A15)</f>
        <v>1</v>
      </c>
    </row>
    <row r="16" customFormat="false" ht="15" hidden="false" customHeight="false" outlineLevel="0" collapsed="false">
      <c r="A16" s="8" t="s">
        <v>66</v>
      </c>
      <c r="B16" s="8" t="s">
        <v>67</v>
      </c>
      <c r="C16" s="8" t="s">
        <v>24</v>
      </c>
      <c r="D16" s="2" t="s">
        <v>39</v>
      </c>
      <c r="E16" s="2" t="n">
        <f aca="false">COUNTIF(Complaints!$F$2:$F$101,A16)</f>
        <v>1</v>
      </c>
    </row>
    <row r="17" customFormat="false" ht="15" hidden="false" customHeight="false" outlineLevel="0" collapsed="false">
      <c r="A17" s="8" t="s">
        <v>68</v>
      </c>
      <c r="B17" s="8" t="s">
        <v>69</v>
      </c>
      <c r="C17" s="8" t="s">
        <v>24</v>
      </c>
      <c r="D17" s="2" t="s">
        <v>39</v>
      </c>
      <c r="E17" s="2" t="n">
        <f aca="false">COUNTIF(Complaints!$F$2:$F$101,A17)</f>
        <v>1</v>
      </c>
    </row>
    <row r="18" customFormat="false" ht="15" hidden="false" customHeight="false" outlineLevel="0" collapsed="false">
      <c r="A18" s="8" t="s">
        <v>70</v>
      </c>
      <c r="B18" s="8" t="s">
        <v>71</v>
      </c>
      <c r="C18" s="8" t="s">
        <v>24</v>
      </c>
      <c r="D18" s="2" t="s">
        <v>39</v>
      </c>
      <c r="E18" s="2" t="n">
        <f aca="false">COUNTIF(Complaints!$F$2:$F$101,A18)</f>
        <v>1</v>
      </c>
    </row>
    <row r="19" customFormat="false" ht="15" hidden="false" customHeight="false" outlineLevel="0" collapsed="false">
      <c r="A19" s="8" t="s">
        <v>72</v>
      </c>
      <c r="B19" s="8" t="s">
        <v>73</v>
      </c>
      <c r="C19" s="8" t="s">
        <v>24</v>
      </c>
      <c r="D19" s="2" t="s">
        <v>39</v>
      </c>
      <c r="E19" s="2" t="n">
        <f aca="false">COUNTIF(Complaints!$F$2:$F$101,A19)</f>
        <v>1</v>
      </c>
    </row>
    <row r="20" customFormat="false" ht="15" hidden="false" customHeight="false" outlineLevel="0" collapsed="false">
      <c r="A20" s="8" t="s">
        <v>74</v>
      </c>
      <c r="B20" s="8" t="s">
        <v>75</v>
      </c>
      <c r="C20" s="8" t="s">
        <v>24</v>
      </c>
      <c r="D20" s="2" t="s">
        <v>39</v>
      </c>
      <c r="E20" s="2" t="n">
        <f aca="false">COUNTIF(Complaints!$F$2:$F$101,A20)</f>
        <v>1</v>
      </c>
    </row>
    <row r="21" customFormat="false" ht="15" hidden="false" customHeight="false" outlineLevel="0" collapsed="false">
      <c r="A21" s="8" t="s">
        <v>76</v>
      </c>
      <c r="B21" s="8" t="s">
        <v>77</v>
      </c>
      <c r="C21" s="8" t="s">
        <v>24</v>
      </c>
      <c r="D21" s="2" t="s">
        <v>39</v>
      </c>
      <c r="E21" s="2" t="n">
        <f aca="false">COUNTIF(Complaints!$F$2:$F$101,A21)</f>
        <v>1</v>
      </c>
    </row>
    <row r="22" customFormat="false" ht="15" hidden="false" customHeight="false" outlineLevel="0" collapsed="false">
      <c r="A22" s="8" t="s">
        <v>78</v>
      </c>
      <c r="B22" s="8" t="s">
        <v>79</v>
      </c>
      <c r="C22" s="8" t="s">
        <v>24</v>
      </c>
      <c r="D22" s="2" t="s">
        <v>39</v>
      </c>
      <c r="E22" s="2" t="n">
        <f aca="false">COUNTIF(Complaints!$F$2:$F$101,A22)</f>
        <v>1</v>
      </c>
    </row>
    <row r="23" customFormat="false" ht="15" hidden="false" customHeight="false" outlineLevel="0" collapsed="false">
      <c r="A23" s="8" t="s">
        <v>80</v>
      </c>
      <c r="B23" s="8" t="s">
        <v>81</v>
      </c>
      <c r="C23" s="8" t="s">
        <v>24</v>
      </c>
      <c r="D23" s="2" t="s">
        <v>39</v>
      </c>
      <c r="E23" s="2" t="n">
        <f aca="false">COUNTIF(Complaints!$F$2:$F$101,A23)</f>
        <v>1</v>
      </c>
    </row>
    <row r="24" customFormat="false" ht="15" hidden="false" customHeight="false" outlineLevel="0" collapsed="false">
      <c r="A24" s="8" t="s">
        <v>82</v>
      </c>
      <c r="B24" s="8" t="s">
        <v>83</v>
      </c>
      <c r="C24" s="8" t="s">
        <v>24</v>
      </c>
      <c r="D24" s="2" t="s">
        <v>39</v>
      </c>
      <c r="E24" s="2" t="n">
        <f aca="false">COUNTIF(Complaints!$F$2:$F$101,A24)</f>
        <v>1</v>
      </c>
    </row>
    <row r="25" customFormat="false" ht="15" hidden="false" customHeight="false" outlineLevel="0" collapsed="false">
      <c r="A25" s="8" t="s">
        <v>84</v>
      </c>
      <c r="B25" s="8" t="s">
        <v>85</v>
      </c>
      <c r="C25" s="8" t="s">
        <v>24</v>
      </c>
      <c r="D25" s="2" t="s">
        <v>39</v>
      </c>
      <c r="E25" s="2" t="n">
        <f aca="false">COUNTIF(Complaints!$F$2:$F$101,A25)</f>
        <v>1</v>
      </c>
    </row>
    <row r="26" customFormat="false" ht="15" hidden="false" customHeight="false" outlineLevel="0" collapsed="false">
      <c r="A26" s="8" t="s">
        <v>86</v>
      </c>
      <c r="B26" s="8" t="s">
        <v>87</v>
      </c>
      <c r="C26" s="8" t="s">
        <v>24</v>
      </c>
      <c r="D26" s="2" t="s">
        <v>39</v>
      </c>
      <c r="E26" s="2" t="n">
        <f aca="false">COUNTIF(Complaints!$F$2:$F$101,A26)</f>
        <v>1</v>
      </c>
    </row>
    <row r="27" customFormat="false" ht="15" hidden="false" customHeight="false" outlineLevel="0" collapsed="false">
      <c r="A27" s="8" t="s">
        <v>88</v>
      </c>
      <c r="B27" s="8" t="s">
        <v>89</v>
      </c>
      <c r="C27" s="8" t="s">
        <v>24</v>
      </c>
      <c r="D27" s="2" t="s">
        <v>39</v>
      </c>
      <c r="E27" s="2" t="n">
        <f aca="false">COUNTIF(Complaints!$F$2:$F$101,A27)</f>
        <v>1</v>
      </c>
    </row>
    <row r="28" customFormat="false" ht="15" hidden="false" customHeight="false" outlineLevel="0" collapsed="false">
      <c r="A28" s="8" t="s">
        <v>90</v>
      </c>
      <c r="B28" s="8" t="s">
        <v>91</v>
      </c>
      <c r="C28" s="8" t="s">
        <v>24</v>
      </c>
      <c r="D28" s="2" t="s">
        <v>39</v>
      </c>
      <c r="E28" s="2" t="n">
        <f aca="false">COUNTIF(Complaints!$F$2:$F$101,A28)</f>
        <v>1</v>
      </c>
    </row>
    <row r="29" customFormat="false" ht="15" hidden="false" customHeight="false" outlineLevel="0" collapsed="false">
      <c r="A29" s="8" t="s">
        <v>92</v>
      </c>
      <c r="B29" s="8" t="s">
        <v>93</v>
      </c>
      <c r="C29" s="8" t="s">
        <v>24</v>
      </c>
      <c r="D29" s="2" t="s">
        <v>39</v>
      </c>
      <c r="E29" s="2" t="n">
        <f aca="false">COUNTIF(Complaints!$F$2:$F$101,A29)</f>
        <v>1</v>
      </c>
    </row>
    <row r="30" customFormat="false" ht="15" hidden="false" customHeight="false" outlineLevel="0" collapsed="false">
      <c r="A30" s="8" t="s">
        <v>94</v>
      </c>
      <c r="B30" s="8" t="s">
        <v>95</v>
      </c>
      <c r="C30" s="8" t="s">
        <v>24</v>
      </c>
      <c r="D30" s="2" t="s">
        <v>39</v>
      </c>
      <c r="E30" s="2" t="n">
        <f aca="false">COUNTIF(Complaints!$F$2:$F$101,A30)</f>
        <v>1</v>
      </c>
    </row>
    <row r="31" customFormat="false" ht="15" hidden="false" customHeight="false" outlineLevel="0" collapsed="false">
      <c r="A31" s="8" t="s">
        <v>96</v>
      </c>
      <c r="B31" s="8" t="s">
        <v>97</v>
      </c>
      <c r="C31" s="8" t="s">
        <v>24</v>
      </c>
      <c r="D31" s="2" t="s">
        <v>39</v>
      </c>
      <c r="E31" s="2" t="n">
        <f aca="false">COUNTIF(Complaints!$F$2:$F$101,A31)</f>
        <v>1</v>
      </c>
    </row>
    <row r="32" customFormat="false" ht="15" hidden="false" customHeight="false" outlineLevel="0" collapsed="false">
      <c r="A32" s="8" t="s">
        <v>98</v>
      </c>
      <c r="B32" s="8" t="s">
        <v>99</v>
      </c>
      <c r="C32" s="8" t="s">
        <v>24</v>
      </c>
      <c r="D32" s="2" t="s">
        <v>39</v>
      </c>
      <c r="E32" s="2" t="n">
        <f aca="false">COUNTIF(Complaints!$F$2:$F$101,A32)</f>
        <v>1</v>
      </c>
    </row>
    <row r="33" customFormat="false" ht="15" hidden="false" customHeight="false" outlineLevel="0" collapsed="false">
      <c r="A33" s="8" t="s">
        <v>100</v>
      </c>
      <c r="B33" s="8" t="s">
        <v>101</v>
      </c>
      <c r="C33" s="8" t="s">
        <v>24</v>
      </c>
      <c r="D33" s="2" t="s">
        <v>39</v>
      </c>
      <c r="E33" s="2" t="n">
        <f aca="false">COUNTIF(Complaints!$F$2:$F$101,A33)</f>
        <v>1</v>
      </c>
    </row>
    <row r="34" customFormat="false" ht="15" hidden="false" customHeight="false" outlineLevel="0" collapsed="false">
      <c r="A34" s="8" t="s">
        <v>102</v>
      </c>
      <c r="B34" s="8" t="s">
        <v>103</v>
      </c>
      <c r="C34" s="8" t="s">
        <v>24</v>
      </c>
      <c r="D34" s="2" t="s">
        <v>39</v>
      </c>
      <c r="E34" s="2" t="n">
        <f aca="false">COUNTIF(Complaints!$F$2:$F$101,A34)</f>
        <v>1</v>
      </c>
    </row>
    <row r="35" customFormat="false" ht="15" hidden="false" customHeight="false" outlineLevel="0" collapsed="false">
      <c r="A35" s="8" t="s">
        <v>104</v>
      </c>
      <c r="B35" s="8" t="s">
        <v>105</v>
      </c>
      <c r="C35" s="8" t="s">
        <v>24</v>
      </c>
      <c r="D35" s="2" t="s">
        <v>39</v>
      </c>
      <c r="E35" s="2" t="n">
        <f aca="false">COUNTIF(Complaints!$F$2:$F$101,A35)</f>
        <v>1</v>
      </c>
    </row>
    <row r="36" customFormat="false" ht="15" hidden="false" customHeight="false" outlineLevel="0" collapsed="false">
      <c r="A36" s="8" t="s">
        <v>106</v>
      </c>
      <c r="B36" s="8" t="s">
        <v>107</v>
      </c>
      <c r="C36" s="8" t="s">
        <v>24</v>
      </c>
      <c r="D36" s="2" t="s">
        <v>39</v>
      </c>
      <c r="E36" s="2" t="n">
        <f aca="false">COUNTIF(Complaints!$F$2:$F$101,A36)</f>
        <v>1</v>
      </c>
    </row>
    <row r="37" customFormat="false" ht="15" hidden="false" customHeight="false" outlineLevel="0" collapsed="false">
      <c r="A37" s="8" t="s">
        <v>108</v>
      </c>
      <c r="B37" s="8" t="s">
        <v>109</v>
      </c>
      <c r="C37" s="8" t="s">
        <v>24</v>
      </c>
      <c r="D37" s="2" t="s">
        <v>39</v>
      </c>
      <c r="E37" s="2" t="n">
        <f aca="false">COUNTIF(Complaints!$F$2:$F$101,A37)</f>
        <v>1</v>
      </c>
    </row>
    <row r="38" customFormat="false" ht="15" hidden="false" customHeight="false" outlineLevel="0" collapsed="false">
      <c r="A38" s="8" t="s">
        <v>110</v>
      </c>
      <c r="B38" s="8" t="s">
        <v>111</v>
      </c>
      <c r="C38" s="8" t="s">
        <v>24</v>
      </c>
      <c r="D38" s="2" t="s">
        <v>39</v>
      </c>
      <c r="E38" s="2" t="n">
        <f aca="false">COUNTIF(Complaints!$F$2:$F$101,A38)</f>
        <v>1</v>
      </c>
    </row>
    <row r="39" customFormat="false" ht="15" hidden="false" customHeight="false" outlineLevel="0" collapsed="false">
      <c r="A39" s="8" t="s">
        <v>112</v>
      </c>
      <c r="B39" s="8" t="s">
        <v>113</v>
      </c>
      <c r="C39" s="8" t="s">
        <v>24</v>
      </c>
      <c r="D39" s="2" t="s">
        <v>39</v>
      </c>
      <c r="E39" s="2" t="n">
        <f aca="false">COUNTIF(Complaints!$F$2:$F$101,A39)</f>
        <v>1</v>
      </c>
    </row>
    <row r="40" customFormat="false" ht="15" hidden="false" customHeight="false" outlineLevel="0" collapsed="false">
      <c r="A40" s="8" t="s">
        <v>114</v>
      </c>
      <c r="B40" s="8" t="s">
        <v>115</v>
      </c>
      <c r="C40" s="8" t="s">
        <v>24</v>
      </c>
      <c r="D40" s="2" t="s">
        <v>39</v>
      </c>
      <c r="E40" s="2" t="n">
        <f aca="false">COUNTIF(Complaints!$F$2:$F$101,A40)</f>
        <v>1</v>
      </c>
    </row>
    <row r="41" customFormat="false" ht="15" hidden="false" customHeight="false" outlineLevel="0" collapsed="false">
      <c r="A41" s="8" t="s">
        <v>116</v>
      </c>
      <c r="B41" s="8" t="s">
        <v>117</v>
      </c>
      <c r="C41" s="8" t="s">
        <v>24</v>
      </c>
      <c r="D41" s="2" t="s">
        <v>39</v>
      </c>
      <c r="E41" s="2" t="n">
        <f aca="false">COUNTIF(Complaints!$F$2:$F$101,A41)</f>
        <v>1</v>
      </c>
    </row>
    <row r="42" customFormat="false" ht="15" hidden="false" customHeight="false" outlineLevel="0" collapsed="false">
      <c r="A42" s="8" t="s">
        <v>118</v>
      </c>
      <c r="B42" s="8" t="s">
        <v>119</v>
      </c>
      <c r="C42" s="8" t="s">
        <v>24</v>
      </c>
      <c r="D42" s="2" t="s">
        <v>39</v>
      </c>
      <c r="E42" s="2" t="n">
        <f aca="false">COUNTIF(Complaints!$F$2:$F$101,A42)</f>
        <v>1</v>
      </c>
    </row>
    <row r="43" customFormat="false" ht="15" hidden="false" customHeight="false" outlineLevel="0" collapsed="false">
      <c r="A43" s="8" t="s">
        <v>120</v>
      </c>
      <c r="B43" s="8" t="s">
        <v>121</v>
      </c>
      <c r="C43" s="8" t="s">
        <v>24</v>
      </c>
      <c r="D43" s="2" t="s">
        <v>39</v>
      </c>
      <c r="E43" s="2" t="n">
        <f aca="false">COUNTIF(Complaints!$F$2:$F$101,A43)</f>
        <v>1</v>
      </c>
    </row>
    <row r="44" customFormat="false" ht="15" hidden="false" customHeight="false" outlineLevel="0" collapsed="false">
      <c r="A44" s="8" t="s">
        <v>122</v>
      </c>
      <c r="B44" s="8" t="s">
        <v>123</v>
      </c>
      <c r="C44" s="8" t="s">
        <v>24</v>
      </c>
      <c r="D44" s="2" t="s">
        <v>39</v>
      </c>
      <c r="E44" s="2" t="n">
        <f aca="false">COUNTIF(Complaints!$F$2:$F$101,A44)</f>
        <v>1</v>
      </c>
    </row>
    <row r="45" customFormat="false" ht="15" hidden="false" customHeight="false" outlineLevel="0" collapsed="false">
      <c r="A45" s="8" t="s">
        <v>124</v>
      </c>
      <c r="B45" s="8" t="s">
        <v>125</v>
      </c>
      <c r="C45" s="8" t="s">
        <v>24</v>
      </c>
      <c r="D45" s="2" t="s">
        <v>39</v>
      </c>
      <c r="E45" s="2" t="n">
        <f aca="false">COUNTIF(Complaints!$F$2:$F$101,A45)</f>
        <v>1</v>
      </c>
    </row>
    <row r="46" customFormat="false" ht="15" hidden="false" customHeight="false" outlineLevel="0" collapsed="false">
      <c r="A46" s="8" t="s">
        <v>126</v>
      </c>
      <c r="B46" s="8" t="s">
        <v>127</v>
      </c>
      <c r="C46" s="8" t="s">
        <v>24</v>
      </c>
      <c r="D46" s="2" t="s">
        <v>39</v>
      </c>
      <c r="E46" s="2" t="n">
        <f aca="false">COUNTIF(Complaints!$F$2:$F$101,A46)</f>
        <v>1</v>
      </c>
    </row>
    <row r="47" customFormat="false" ht="15" hidden="false" customHeight="false" outlineLevel="0" collapsed="false">
      <c r="A47" s="8" t="s">
        <v>128</v>
      </c>
      <c r="B47" s="8" t="s">
        <v>129</v>
      </c>
      <c r="C47" s="8" t="s">
        <v>24</v>
      </c>
      <c r="D47" s="2" t="s">
        <v>39</v>
      </c>
      <c r="E47" s="2" t="n">
        <f aca="false">COUNTIF(Complaints!$F$2:$F$101,A47)</f>
        <v>1</v>
      </c>
    </row>
    <row r="48" customFormat="false" ht="15" hidden="false" customHeight="false" outlineLevel="0" collapsed="false">
      <c r="A48" s="8" t="s">
        <v>130</v>
      </c>
      <c r="B48" s="8" t="s">
        <v>131</v>
      </c>
      <c r="C48" s="8" t="s">
        <v>24</v>
      </c>
      <c r="D48" s="2" t="s">
        <v>39</v>
      </c>
      <c r="E48" s="2" t="n">
        <f aca="false">COUNTIF(Complaints!$F$2:$F$101,A48)</f>
        <v>1</v>
      </c>
    </row>
    <row r="49" customFormat="false" ht="15" hidden="false" customHeight="false" outlineLevel="0" collapsed="false">
      <c r="A49" s="8" t="s">
        <v>132</v>
      </c>
      <c r="B49" s="8" t="s">
        <v>133</v>
      </c>
      <c r="C49" s="8" t="s">
        <v>24</v>
      </c>
      <c r="D49" s="2" t="s">
        <v>39</v>
      </c>
      <c r="E49" s="2" t="n">
        <f aca="false">COUNTIF(Complaints!$F$2:$F$101,A49)</f>
        <v>1</v>
      </c>
    </row>
    <row r="50" customFormat="false" ht="15" hidden="false" customHeight="false" outlineLevel="0" collapsed="false">
      <c r="A50" s="8" t="s">
        <v>134</v>
      </c>
      <c r="B50" s="8" t="s">
        <v>135</v>
      </c>
      <c r="C50" s="8" t="s">
        <v>24</v>
      </c>
      <c r="D50" s="2" t="s">
        <v>39</v>
      </c>
      <c r="E50" s="2" t="n">
        <f aca="false">COUNTIF(Complaints!$F$2:$F$101,A50)</f>
        <v>1</v>
      </c>
    </row>
    <row r="51" customFormat="false" ht="15" hidden="false" customHeight="false" outlineLevel="0" collapsed="false">
      <c r="A51" s="8" t="s">
        <v>136</v>
      </c>
      <c r="B51" s="8" t="s">
        <v>137</v>
      </c>
      <c r="C51" s="8" t="s">
        <v>24</v>
      </c>
      <c r="D51" s="2" t="s">
        <v>39</v>
      </c>
      <c r="E51" s="2" t="n">
        <f aca="false">COUNTIF(Complaints!$F$2:$F$101,A51)</f>
        <v>1</v>
      </c>
    </row>
    <row r="52" customFormat="false" ht="15" hidden="false" customHeight="false" outlineLevel="0" collapsed="false">
      <c r="A52" s="8" t="s">
        <v>138</v>
      </c>
      <c r="B52" s="8" t="s">
        <v>139</v>
      </c>
      <c r="C52" s="8" t="s">
        <v>25</v>
      </c>
      <c r="D52" s="2" t="s">
        <v>39</v>
      </c>
      <c r="E52" s="2" t="n">
        <f aca="false">COUNTIF(Complaints!$F$2:$F$101,A52)</f>
        <v>1</v>
      </c>
    </row>
    <row r="53" customFormat="false" ht="15" hidden="false" customHeight="false" outlineLevel="0" collapsed="false">
      <c r="A53" s="8" t="s">
        <v>140</v>
      </c>
      <c r="B53" s="8" t="s">
        <v>141</v>
      </c>
      <c r="C53" s="8" t="s">
        <v>25</v>
      </c>
      <c r="D53" s="2" t="s">
        <v>39</v>
      </c>
      <c r="E53" s="2" t="n">
        <f aca="false">COUNTIF(Complaints!$F$2:$F$101,A53)</f>
        <v>1</v>
      </c>
    </row>
    <row r="54" customFormat="false" ht="15" hidden="false" customHeight="false" outlineLevel="0" collapsed="false">
      <c r="A54" s="8" t="s">
        <v>142</v>
      </c>
      <c r="B54" s="8" t="s">
        <v>143</v>
      </c>
      <c r="C54" s="8" t="s">
        <v>25</v>
      </c>
      <c r="D54" s="2" t="s">
        <v>39</v>
      </c>
      <c r="E54" s="2" t="n">
        <f aca="false">COUNTIF(Complaints!$F$2:$F$101,A54)</f>
        <v>1</v>
      </c>
    </row>
    <row r="55" customFormat="false" ht="15" hidden="false" customHeight="false" outlineLevel="0" collapsed="false">
      <c r="A55" s="8" t="s">
        <v>144</v>
      </c>
      <c r="B55" s="8" t="s">
        <v>145</v>
      </c>
      <c r="C55" s="8" t="s">
        <v>25</v>
      </c>
      <c r="D55" s="2" t="s">
        <v>39</v>
      </c>
      <c r="E55" s="2" t="n">
        <f aca="false">COUNTIF(Complaints!$F$2:$F$101,A55)</f>
        <v>1</v>
      </c>
    </row>
    <row r="56" customFormat="false" ht="15" hidden="false" customHeight="false" outlineLevel="0" collapsed="false">
      <c r="A56" s="8" t="s">
        <v>146</v>
      </c>
      <c r="B56" s="8" t="s">
        <v>147</v>
      </c>
      <c r="C56" s="8" t="s">
        <v>25</v>
      </c>
      <c r="D56" s="2" t="s">
        <v>39</v>
      </c>
      <c r="E56" s="2" t="n">
        <f aca="false">COUNTIF(Complaints!$F$2:$F$101,A56)</f>
        <v>1</v>
      </c>
    </row>
    <row r="57" customFormat="false" ht="15" hidden="false" customHeight="false" outlineLevel="0" collapsed="false">
      <c r="A57" s="8" t="s">
        <v>148</v>
      </c>
      <c r="B57" s="8" t="s">
        <v>149</v>
      </c>
      <c r="C57" s="8" t="s">
        <v>25</v>
      </c>
      <c r="D57" s="2" t="s">
        <v>39</v>
      </c>
      <c r="E57" s="2" t="n">
        <f aca="false">COUNTIF(Complaints!$F$2:$F$101,A57)</f>
        <v>1</v>
      </c>
    </row>
    <row r="58" customFormat="false" ht="15" hidden="false" customHeight="false" outlineLevel="0" collapsed="false">
      <c r="A58" s="8" t="s">
        <v>150</v>
      </c>
      <c r="B58" s="8" t="s">
        <v>151</v>
      </c>
      <c r="C58" s="8" t="s">
        <v>25</v>
      </c>
      <c r="D58" s="2" t="s">
        <v>39</v>
      </c>
      <c r="E58" s="2" t="n">
        <f aca="false">COUNTIF(Complaints!$F$2:$F$101,A58)</f>
        <v>1</v>
      </c>
    </row>
    <row r="59" customFormat="false" ht="15" hidden="false" customHeight="false" outlineLevel="0" collapsed="false">
      <c r="A59" s="8" t="s">
        <v>152</v>
      </c>
      <c r="B59" s="8" t="s">
        <v>153</v>
      </c>
      <c r="C59" s="8" t="s">
        <v>25</v>
      </c>
      <c r="D59" s="2" t="s">
        <v>39</v>
      </c>
      <c r="E59" s="2" t="n">
        <f aca="false">COUNTIF(Complaints!$F$2:$F$101,A59)</f>
        <v>1</v>
      </c>
    </row>
    <row r="60" customFormat="false" ht="15" hidden="false" customHeight="false" outlineLevel="0" collapsed="false">
      <c r="A60" s="8" t="s">
        <v>154</v>
      </c>
      <c r="B60" s="8" t="s">
        <v>155</v>
      </c>
      <c r="C60" s="8" t="s">
        <v>25</v>
      </c>
      <c r="D60" s="2" t="s">
        <v>39</v>
      </c>
      <c r="E60" s="2" t="n">
        <f aca="false">COUNTIF(Complaints!$F$2:$F$101,A60)</f>
        <v>1</v>
      </c>
    </row>
    <row r="61" customFormat="false" ht="15" hidden="false" customHeight="false" outlineLevel="0" collapsed="false">
      <c r="A61" s="8" t="s">
        <v>156</v>
      </c>
      <c r="B61" s="8" t="s">
        <v>157</v>
      </c>
      <c r="C61" s="8" t="s">
        <v>25</v>
      </c>
      <c r="D61" s="2" t="s">
        <v>39</v>
      </c>
      <c r="E61" s="2" t="n">
        <f aca="false">COUNTIF(Complaints!$F$2:$F$101,A61)</f>
        <v>1</v>
      </c>
    </row>
    <row r="62" customFormat="false" ht="15" hidden="false" customHeight="false" outlineLevel="0" collapsed="false">
      <c r="A62" s="8" t="s">
        <v>158</v>
      </c>
      <c r="B62" s="8" t="s">
        <v>159</v>
      </c>
      <c r="C62" s="8" t="s">
        <v>25</v>
      </c>
      <c r="D62" s="2" t="s">
        <v>39</v>
      </c>
      <c r="E62" s="2" t="n">
        <f aca="false">COUNTIF(Complaints!$F$2:$F$101,A62)</f>
        <v>1</v>
      </c>
    </row>
    <row r="63" customFormat="false" ht="15" hidden="false" customHeight="false" outlineLevel="0" collapsed="false">
      <c r="A63" s="8" t="s">
        <v>160</v>
      </c>
      <c r="B63" s="8" t="s">
        <v>161</v>
      </c>
      <c r="C63" s="8" t="s">
        <v>25</v>
      </c>
      <c r="D63" s="2" t="s">
        <v>39</v>
      </c>
      <c r="E63" s="2" t="n">
        <f aca="false">COUNTIF(Complaints!$F$2:$F$101,A63)</f>
        <v>1</v>
      </c>
    </row>
    <row r="64" customFormat="false" ht="15" hidden="false" customHeight="false" outlineLevel="0" collapsed="false">
      <c r="A64" s="8" t="s">
        <v>162</v>
      </c>
      <c r="B64" s="8" t="s">
        <v>163</v>
      </c>
      <c r="C64" s="8" t="s">
        <v>25</v>
      </c>
      <c r="D64" s="2" t="s">
        <v>39</v>
      </c>
      <c r="E64" s="2" t="n">
        <f aca="false">COUNTIF(Complaints!$F$2:$F$101,A64)</f>
        <v>1</v>
      </c>
    </row>
    <row r="65" customFormat="false" ht="15" hidden="false" customHeight="false" outlineLevel="0" collapsed="false">
      <c r="A65" s="8" t="s">
        <v>164</v>
      </c>
      <c r="B65" s="8" t="s">
        <v>165</v>
      </c>
      <c r="C65" s="8" t="s">
        <v>25</v>
      </c>
      <c r="D65" s="2" t="s">
        <v>39</v>
      </c>
      <c r="E65" s="2" t="n">
        <f aca="false">COUNTIF(Complaints!$F$2:$F$101,A65)</f>
        <v>1</v>
      </c>
    </row>
    <row r="66" customFormat="false" ht="15" hidden="false" customHeight="false" outlineLevel="0" collapsed="false">
      <c r="A66" s="8" t="s">
        <v>166</v>
      </c>
      <c r="B66" s="8" t="s">
        <v>167</v>
      </c>
      <c r="C66" s="8" t="s">
        <v>25</v>
      </c>
      <c r="D66" s="2" t="s">
        <v>39</v>
      </c>
      <c r="E66" s="2" t="n">
        <f aca="false">COUNTIF(Complaints!$F$2:$F$101,A66)</f>
        <v>1</v>
      </c>
    </row>
    <row r="67" customFormat="false" ht="15" hidden="false" customHeight="false" outlineLevel="0" collapsed="false">
      <c r="A67" s="8" t="s">
        <v>168</v>
      </c>
      <c r="B67" s="8" t="s">
        <v>169</v>
      </c>
      <c r="C67" s="8" t="s">
        <v>25</v>
      </c>
      <c r="D67" s="2" t="s">
        <v>39</v>
      </c>
      <c r="E67" s="2" t="n">
        <f aca="false">COUNTIF(Complaints!$F$2:$F$101,A67)</f>
        <v>1</v>
      </c>
    </row>
    <row r="68" customFormat="false" ht="15" hidden="false" customHeight="false" outlineLevel="0" collapsed="false">
      <c r="A68" s="8" t="s">
        <v>170</v>
      </c>
      <c r="B68" s="8" t="s">
        <v>171</v>
      </c>
      <c r="C68" s="8" t="s">
        <v>25</v>
      </c>
      <c r="D68" s="2" t="s">
        <v>39</v>
      </c>
      <c r="E68" s="2" t="n">
        <f aca="false">COUNTIF(Complaints!$F$2:$F$101,A68)</f>
        <v>1</v>
      </c>
    </row>
    <row r="69" customFormat="false" ht="15" hidden="false" customHeight="false" outlineLevel="0" collapsed="false">
      <c r="A69" s="8" t="s">
        <v>172</v>
      </c>
      <c r="B69" s="8" t="s">
        <v>173</v>
      </c>
      <c r="C69" s="8" t="s">
        <v>25</v>
      </c>
      <c r="D69" s="2" t="s">
        <v>39</v>
      </c>
      <c r="E69" s="2" t="n">
        <f aca="false">COUNTIF(Complaints!$F$2:$F$101,A69)</f>
        <v>1</v>
      </c>
    </row>
    <row r="70" customFormat="false" ht="15" hidden="false" customHeight="false" outlineLevel="0" collapsed="false">
      <c r="A70" s="8" t="s">
        <v>174</v>
      </c>
      <c r="B70" s="8" t="s">
        <v>175</v>
      </c>
      <c r="C70" s="8" t="s">
        <v>25</v>
      </c>
      <c r="D70" s="2" t="s">
        <v>39</v>
      </c>
      <c r="E70" s="2" t="n">
        <f aca="false">COUNTIF(Complaints!$F$2:$F$101,A70)</f>
        <v>1</v>
      </c>
    </row>
    <row r="71" customFormat="false" ht="15" hidden="false" customHeight="false" outlineLevel="0" collapsed="false">
      <c r="A71" s="8" t="s">
        <v>176</v>
      </c>
      <c r="B71" s="8" t="s">
        <v>177</v>
      </c>
      <c r="C71" s="8" t="s">
        <v>25</v>
      </c>
      <c r="D71" s="2" t="s">
        <v>39</v>
      </c>
      <c r="E71" s="2" t="n">
        <f aca="false">COUNTIF(Complaints!$F$2:$F$101,A71)</f>
        <v>1</v>
      </c>
    </row>
    <row r="72" customFormat="false" ht="15" hidden="false" customHeight="false" outlineLevel="0" collapsed="false">
      <c r="A72" s="8" t="s">
        <v>178</v>
      </c>
      <c r="B72" s="8" t="s">
        <v>179</v>
      </c>
      <c r="C72" s="8" t="s">
        <v>25</v>
      </c>
      <c r="D72" s="2" t="s">
        <v>39</v>
      </c>
      <c r="E72" s="2" t="n">
        <f aca="false">COUNTIF(Complaints!$F$2:$F$101,A72)</f>
        <v>1</v>
      </c>
    </row>
    <row r="73" customFormat="false" ht="15" hidden="false" customHeight="false" outlineLevel="0" collapsed="false">
      <c r="A73" s="8" t="s">
        <v>180</v>
      </c>
      <c r="B73" s="8" t="s">
        <v>181</v>
      </c>
      <c r="C73" s="8" t="s">
        <v>25</v>
      </c>
      <c r="D73" s="2" t="s">
        <v>39</v>
      </c>
      <c r="E73" s="2" t="n">
        <f aca="false">COUNTIF(Complaints!$F$2:$F$101,A73)</f>
        <v>1</v>
      </c>
    </row>
    <row r="74" customFormat="false" ht="15" hidden="false" customHeight="false" outlineLevel="0" collapsed="false">
      <c r="A74" s="8" t="s">
        <v>182</v>
      </c>
      <c r="B74" s="8" t="s">
        <v>183</v>
      </c>
      <c r="C74" s="8" t="s">
        <v>25</v>
      </c>
      <c r="D74" s="2" t="s">
        <v>39</v>
      </c>
      <c r="E74" s="2" t="n">
        <f aca="false">COUNTIF(Complaints!$F$2:$F$101,A74)</f>
        <v>1</v>
      </c>
    </row>
    <row r="75" customFormat="false" ht="15" hidden="false" customHeight="false" outlineLevel="0" collapsed="false">
      <c r="A75" s="8" t="s">
        <v>184</v>
      </c>
      <c r="B75" s="8" t="s">
        <v>185</v>
      </c>
      <c r="C75" s="8" t="s">
        <v>25</v>
      </c>
      <c r="D75" s="2" t="s">
        <v>39</v>
      </c>
      <c r="E75" s="2" t="n">
        <f aca="false">COUNTIF(Complaints!$F$2:$F$101,A75)</f>
        <v>1</v>
      </c>
    </row>
    <row r="76" customFormat="false" ht="15" hidden="false" customHeight="false" outlineLevel="0" collapsed="false">
      <c r="A76" s="8" t="s">
        <v>186</v>
      </c>
      <c r="B76" s="8" t="s">
        <v>187</v>
      </c>
      <c r="C76" s="8" t="s">
        <v>25</v>
      </c>
      <c r="D76" s="2" t="s">
        <v>39</v>
      </c>
      <c r="E76" s="2" t="n">
        <f aca="false">COUNTIF(Complaints!$F$2:$F$101,A76)</f>
        <v>1</v>
      </c>
    </row>
    <row r="77" customFormat="false" ht="15" hidden="false" customHeight="false" outlineLevel="0" collapsed="false">
      <c r="A77" s="8" t="s">
        <v>188</v>
      </c>
      <c r="B77" s="8" t="s">
        <v>189</v>
      </c>
      <c r="C77" s="8" t="s">
        <v>25</v>
      </c>
      <c r="D77" s="2" t="s">
        <v>39</v>
      </c>
      <c r="E77" s="2" t="n">
        <f aca="false">COUNTIF(Complaints!$F$2:$F$101,A77)</f>
        <v>1</v>
      </c>
    </row>
    <row r="78" customFormat="false" ht="15" hidden="false" customHeight="false" outlineLevel="0" collapsed="false">
      <c r="A78" s="8" t="s">
        <v>190</v>
      </c>
      <c r="B78" s="8" t="s">
        <v>191</v>
      </c>
      <c r="C78" s="8" t="s">
        <v>25</v>
      </c>
      <c r="D78" s="2" t="s">
        <v>39</v>
      </c>
      <c r="E78" s="2" t="n">
        <f aca="false">COUNTIF(Complaints!$F$2:$F$101,A78)</f>
        <v>1</v>
      </c>
    </row>
    <row r="79" customFormat="false" ht="15" hidden="false" customHeight="false" outlineLevel="0" collapsed="false">
      <c r="A79" s="8" t="s">
        <v>192</v>
      </c>
      <c r="B79" s="8" t="s">
        <v>193</v>
      </c>
      <c r="C79" s="8" t="s">
        <v>25</v>
      </c>
      <c r="D79" s="2" t="s">
        <v>39</v>
      </c>
      <c r="E79" s="2" t="n">
        <f aca="false">COUNTIF(Complaints!$F$2:$F$101,A79)</f>
        <v>1</v>
      </c>
    </row>
    <row r="80" customFormat="false" ht="15" hidden="false" customHeight="false" outlineLevel="0" collapsed="false">
      <c r="A80" s="8" t="s">
        <v>194</v>
      </c>
      <c r="B80" s="8" t="s">
        <v>195</v>
      </c>
      <c r="C80" s="8" t="s">
        <v>25</v>
      </c>
      <c r="D80" s="2" t="s">
        <v>39</v>
      </c>
      <c r="E80" s="2" t="n">
        <f aca="false">COUNTIF(Complaints!$F$2:$F$101,A80)</f>
        <v>1</v>
      </c>
    </row>
    <row r="81" customFormat="false" ht="15" hidden="false" customHeight="false" outlineLevel="0" collapsed="false">
      <c r="A81" s="8" t="s">
        <v>196</v>
      </c>
      <c r="B81" s="8" t="s">
        <v>197</v>
      </c>
      <c r="C81" s="8" t="s">
        <v>25</v>
      </c>
      <c r="D81" s="2" t="s">
        <v>39</v>
      </c>
      <c r="E81" s="2" t="n">
        <f aca="false">COUNTIF(Complaints!$F$2:$F$101,A81)</f>
        <v>1</v>
      </c>
    </row>
    <row r="82" customFormat="false" ht="15" hidden="false" customHeight="false" outlineLevel="0" collapsed="false">
      <c r="A82" s="8" t="s">
        <v>198</v>
      </c>
      <c r="B82" s="8" t="s">
        <v>199</v>
      </c>
      <c r="C82" s="8" t="s">
        <v>25</v>
      </c>
      <c r="D82" s="2" t="s">
        <v>39</v>
      </c>
      <c r="E82" s="2" t="n">
        <f aca="false">COUNTIF(Complaints!$F$2:$F$101,A82)</f>
        <v>1</v>
      </c>
    </row>
    <row r="83" customFormat="false" ht="15" hidden="false" customHeight="false" outlineLevel="0" collapsed="false">
      <c r="A83" s="8" t="s">
        <v>200</v>
      </c>
      <c r="B83" s="8" t="s">
        <v>201</v>
      </c>
      <c r="C83" s="8" t="s">
        <v>25</v>
      </c>
      <c r="D83" s="2" t="s">
        <v>39</v>
      </c>
      <c r="E83" s="2" t="n">
        <f aca="false">COUNTIF(Complaints!$F$2:$F$101,A83)</f>
        <v>1</v>
      </c>
    </row>
    <row r="84" customFormat="false" ht="15" hidden="false" customHeight="false" outlineLevel="0" collapsed="false">
      <c r="A84" s="8" t="s">
        <v>202</v>
      </c>
      <c r="B84" s="8" t="s">
        <v>203</v>
      </c>
      <c r="C84" s="8" t="s">
        <v>25</v>
      </c>
      <c r="D84" s="2" t="s">
        <v>39</v>
      </c>
      <c r="E84" s="2" t="n">
        <f aca="false">COUNTIF(Complaints!$F$2:$F$101,A84)</f>
        <v>1</v>
      </c>
    </row>
    <row r="85" customFormat="false" ht="15" hidden="false" customHeight="false" outlineLevel="0" collapsed="false">
      <c r="A85" s="8" t="s">
        <v>204</v>
      </c>
      <c r="B85" s="8" t="s">
        <v>205</v>
      </c>
      <c r="C85" s="8" t="s">
        <v>25</v>
      </c>
      <c r="D85" s="2" t="s">
        <v>39</v>
      </c>
      <c r="E85" s="2" t="n">
        <f aca="false">COUNTIF(Complaints!$F$2:$F$101,A85)</f>
        <v>1</v>
      </c>
    </row>
    <row r="86" customFormat="false" ht="15" hidden="false" customHeight="false" outlineLevel="0" collapsed="false">
      <c r="A86" s="8" t="s">
        <v>206</v>
      </c>
      <c r="B86" s="8" t="s">
        <v>207</v>
      </c>
      <c r="C86" s="8" t="s">
        <v>25</v>
      </c>
      <c r="D86" s="2" t="s">
        <v>39</v>
      </c>
      <c r="E86" s="2" t="n">
        <f aca="false">COUNTIF(Complaints!$F$2:$F$101,A86)</f>
        <v>1</v>
      </c>
    </row>
    <row r="87" customFormat="false" ht="15" hidden="false" customHeight="false" outlineLevel="0" collapsed="false">
      <c r="A87" s="8" t="s">
        <v>208</v>
      </c>
      <c r="B87" s="8" t="s">
        <v>209</v>
      </c>
      <c r="C87" s="8" t="s">
        <v>25</v>
      </c>
      <c r="D87" s="2" t="s">
        <v>39</v>
      </c>
      <c r="E87" s="2" t="n">
        <f aca="false">COUNTIF(Complaints!$F$2:$F$101,A87)</f>
        <v>1</v>
      </c>
    </row>
    <row r="88" customFormat="false" ht="15" hidden="false" customHeight="false" outlineLevel="0" collapsed="false">
      <c r="A88" s="8" t="s">
        <v>210</v>
      </c>
      <c r="B88" s="8" t="s">
        <v>211</v>
      </c>
      <c r="C88" s="8" t="s">
        <v>25</v>
      </c>
      <c r="D88" s="2" t="s">
        <v>39</v>
      </c>
      <c r="E88" s="2" t="n">
        <f aca="false">COUNTIF(Complaints!$F$2:$F$101,A88)</f>
        <v>1</v>
      </c>
    </row>
    <row r="89" customFormat="false" ht="15" hidden="false" customHeight="false" outlineLevel="0" collapsed="false">
      <c r="A89" s="8" t="s">
        <v>212</v>
      </c>
      <c r="B89" s="8" t="s">
        <v>213</v>
      </c>
      <c r="C89" s="8" t="s">
        <v>25</v>
      </c>
      <c r="D89" s="2" t="s">
        <v>39</v>
      </c>
      <c r="E89" s="2" t="n">
        <f aca="false">COUNTIF(Complaints!$F$2:$F$101,A89)</f>
        <v>1</v>
      </c>
    </row>
    <row r="90" customFormat="false" ht="15" hidden="false" customHeight="false" outlineLevel="0" collapsed="false">
      <c r="A90" s="8" t="s">
        <v>214</v>
      </c>
      <c r="B90" s="8" t="s">
        <v>215</v>
      </c>
      <c r="C90" s="8" t="s">
        <v>25</v>
      </c>
      <c r="D90" s="2" t="s">
        <v>39</v>
      </c>
      <c r="E90" s="2" t="n">
        <f aca="false">COUNTIF(Complaints!$F$2:$F$101,A90)</f>
        <v>1</v>
      </c>
    </row>
    <row r="91" customFormat="false" ht="15" hidden="false" customHeight="false" outlineLevel="0" collapsed="false">
      <c r="A91" s="8" t="s">
        <v>216</v>
      </c>
      <c r="B91" s="8" t="s">
        <v>217</v>
      </c>
      <c r="C91" s="8" t="s">
        <v>25</v>
      </c>
      <c r="D91" s="2" t="s">
        <v>39</v>
      </c>
      <c r="E91" s="2" t="n">
        <f aca="false">COUNTIF(Complaints!$F$2:$F$101,A91)</f>
        <v>1</v>
      </c>
    </row>
    <row r="92" customFormat="false" ht="15" hidden="false" customHeight="false" outlineLevel="0" collapsed="false">
      <c r="A92" s="8" t="s">
        <v>218</v>
      </c>
      <c r="B92" s="8" t="s">
        <v>219</v>
      </c>
      <c r="C92" s="8" t="s">
        <v>26</v>
      </c>
      <c r="D92" s="2" t="s">
        <v>39</v>
      </c>
      <c r="E92" s="2" t="n">
        <f aca="false">COUNTIF(Complaints!$F$2:$F$101,A92)</f>
        <v>1</v>
      </c>
    </row>
    <row r="93" customFormat="false" ht="15" hidden="false" customHeight="false" outlineLevel="0" collapsed="false">
      <c r="A93" s="8" t="s">
        <v>220</v>
      </c>
      <c r="B93" s="8" t="s">
        <v>221</v>
      </c>
      <c r="C93" s="8" t="s">
        <v>26</v>
      </c>
      <c r="D93" s="2" t="s">
        <v>39</v>
      </c>
      <c r="E93" s="2" t="n">
        <f aca="false">COUNTIF(Complaints!$F$2:$F$101,A93)</f>
        <v>1</v>
      </c>
    </row>
    <row r="94" customFormat="false" ht="15" hidden="false" customHeight="false" outlineLevel="0" collapsed="false">
      <c r="A94" s="8" t="s">
        <v>222</v>
      </c>
      <c r="B94" s="8" t="s">
        <v>223</v>
      </c>
      <c r="C94" s="8" t="s">
        <v>26</v>
      </c>
      <c r="D94" s="2" t="s">
        <v>39</v>
      </c>
      <c r="E94" s="2" t="n">
        <f aca="false">COUNTIF(Complaints!$F$2:$F$101,A94)</f>
        <v>1</v>
      </c>
    </row>
    <row r="95" customFormat="false" ht="15" hidden="false" customHeight="false" outlineLevel="0" collapsed="false">
      <c r="A95" s="8" t="s">
        <v>224</v>
      </c>
      <c r="B95" s="8" t="s">
        <v>225</v>
      </c>
      <c r="C95" s="8" t="s">
        <v>26</v>
      </c>
      <c r="D95" s="2" t="s">
        <v>39</v>
      </c>
      <c r="E95" s="2" t="n">
        <f aca="false">COUNTIF(Complaints!$F$2:$F$101,A95)</f>
        <v>1</v>
      </c>
    </row>
    <row r="96" customFormat="false" ht="15" hidden="false" customHeight="false" outlineLevel="0" collapsed="false">
      <c r="A96" s="8" t="s">
        <v>226</v>
      </c>
      <c r="B96" s="8" t="s">
        <v>227</v>
      </c>
      <c r="C96" s="8" t="s">
        <v>26</v>
      </c>
      <c r="D96" s="2" t="s">
        <v>39</v>
      </c>
      <c r="E96" s="2" t="n">
        <f aca="false">COUNTIF(Complaints!$F$2:$F$101,A96)</f>
        <v>1</v>
      </c>
    </row>
    <row r="97" customFormat="false" ht="15" hidden="false" customHeight="false" outlineLevel="0" collapsed="false">
      <c r="A97" s="8" t="s">
        <v>228</v>
      </c>
      <c r="B97" s="8" t="s">
        <v>229</v>
      </c>
      <c r="C97" s="8" t="s">
        <v>26</v>
      </c>
      <c r="D97" s="2" t="s">
        <v>39</v>
      </c>
      <c r="E97" s="2" t="n">
        <f aca="false">COUNTIF(Complaints!$F$2:$F$101,A97)</f>
        <v>1</v>
      </c>
    </row>
    <row r="98" customFormat="false" ht="15" hidden="false" customHeight="false" outlineLevel="0" collapsed="false">
      <c r="A98" s="8" t="s">
        <v>230</v>
      </c>
      <c r="B98" s="8" t="s">
        <v>231</v>
      </c>
      <c r="C98" s="8" t="s">
        <v>26</v>
      </c>
      <c r="D98" s="2" t="s">
        <v>39</v>
      </c>
      <c r="E98" s="2" t="n">
        <f aca="false">COUNTIF(Complaints!$F$2:$F$101,A98)</f>
        <v>1</v>
      </c>
    </row>
    <row r="99" customFormat="false" ht="15" hidden="false" customHeight="false" outlineLevel="0" collapsed="false">
      <c r="A99" s="8" t="s">
        <v>232</v>
      </c>
      <c r="B99" s="8" t="s">
        <v>233</v>
      </c>
      <c r="C99" s="8" t="s">
        <v>26</v>
      </c>
      <c r="D99" s="2" t="s">
        <v>39</v>
      </c>
      <c r="E99" s="2" t="n">
        <f aca="false">COUNTIF(Complaints!$F$2:$F$101,A99)</f>
        <v>1</v>
      </c>
    </row>
    <row r="100" customFormat="false" ht="15" hidden="false" customHeight="false" outlineLevel="0" collapsed="false">
      <c r="A100" s="8" t="s">
        <v>234</v>
      </c>
      <c r="B100" s="8" t="s">
        <v>235</v>
      </c>
      <c r="C100" s="8" t="s">
        <v>26</v>
      </c>
      <c r="D100" s="2" t="s">
        <v>39</v>
      </c>
      <c r="E100" s="2" t="n">
        <f aca="false">COUNTIF(Complaints!$F$2:$F$101,A100)</f>
        <v>1</v>
      </c>
    </row>
    <row r="101" customFormat="false" ht="15" hidden="false" customHeight="false" outlineLevel="0" collapsed="false">
      <c r="A101" s="8" t="s">
        <v>236</v>
      </c>
      <c r="B101" s="8" t="s">
        <v>237</v>
      </c>
      <c r="C101" s="8" t="s">
        <v>26</v>
      </c>
      <c r="D101" s="2" t="s">
        <v>39</v>
      </c>
      <c r="E101" s="2" t="n">
        <f aca="false">COUNTIF(Complaints!$F$2:$F$101,A101)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10" min="8" style="0" width="10"/>
    <col collapsed="false" customWidth="true" hidden="false" outlineLevel="0" max="11" min="11" style="0" width="13"/>
    <col collapsed="false" customWidth="true" hidden="false" outlineLevel="0" max="12" min="12" style="0" width="20"/>
    <col collapsed="false" customWidth="true" hidden="false" outlineLevel="0" max="13" min="13" style="0" width="40"/>
    <col collapsed="false" customWidth="true" hidden="false" outlineLevel="0" max="14" min="14" style="0" width="9"/>
    <col collapsed="false" customWidth="true" hidden="false" outlineLevel="0" max="15" min="15" style="0" width="40"/>
    <col collapsed="false" customWidth="true" hidden="false" outlineLevel="0" max="16" min="16" style="0" width="8"/>
    <col collapsed="false" customWidth="true" hidden="false" outlineLevel="0" max="18" min="17" style="0" width="10"/>
    <col collapsed="false" customWidth="true" hidden="false" outlineLevel="0" max="19" min="19" style="0" width="11"/>
  </cols>
  <sheetData>
    <row r="1" customFormat="false" ht="31.5" hidden="false" customHeight="true" outlineLevel="0" collapsed="false">
      <c r="A1" s="4" t="s">
        <v>238</v>
      </c>
      <c r="B1" s="4" t="s">
        <v>239</v>
      </c>
      <c r="C1" s="4" t="s">
        <v>240</v>
      </c>
      <c r="D1" s="4" t="s">
        <v>241</v>
      </c>
      <c r="E1" s="4" t="s">
        <v>15</v>
      </c>
      <c r="F1" s="4" t="s">
        <v>242</v>
      </c>
      <c r="G1" s="4" t="s">
        <v>243</v>
      </c>
      <c r="H1" s="4" t="s">
        <v>244</v>
      </c>
      <c r="I1" s="4" t="s">
        <v>245</v>
      </c>
      <c r="J1" s="4" t="s">
        <v>246</v>
      </c>
      <c r="K1" s="4" t="s">
        <v>247</v>
      </c>
      <c r="L1" s="4" t="s">
        <v>248</v>
      </c>
      <c r="M1" s="4" t="s">
        <v>249</v>
      </c>
      <c r="N1" s="4" t="s">
        <v>250</v>
      </c>
      <c r="O1" s="4" t="s">
        <v>251</v>
      </c>
      <c r="P1" s="4" t="s">
        <v>252</v>
      </c>
      <c r="Q1" s="4" t="s">
        <v>253</v>
      </c>
      <c r="R1" s="4" t="s">
        <v>254</v>
      </c>
      <c r="S1" s="4" t="s">
        <v>255</v>
      </c>
    </row>
    <row r="2" customFormat="false" ht="23.85" hidden="false" customHeight="false" outlineLevel="0" collapsed="false">
      <c r="A2" s="9" t="n">
        <v>1001</v>
      </c>
      <c r="B2" s="10" t="s">
        <v>256</v>
      </c>
      <c r="C2" s="10" t="s">
        <v>257</v>
      </c>
      <c r="D2" s="9" t="s">
        <v>258</v>
      </c>
      <c r="E2" s="9" t="s">
        <v>24</v>
      </c>
      <c r="F2" s="9" t="s">
        <v>37</v>
      </c>
      <c r="G2" s="2" t="str">
        <f aca="false">INDEX(Students!$B$2:$B$101,MATCH(F2,Students!$A$2:$A$101,0))</f>
        <v>Mihir Singh</v>
      </c>
      <c r="H2" s="9" t="n">
        <v>4</v>
      </c>
      <c r="I2" s="9" t="n">
        <v>3</v>
      </c>
      <c r="J2" s="9" t="s">
        <v>259</v>
      </c>
      <c r="K2" s="9" t="s">
        <v>20</v>
      </c>
      <c r="L2" s="9" t="s">
        <v>260</v>
      </c>
      <c r="M2" s="10" t="s">
        <v>261</v>
      </c>
      <c r="N2" s="9" t="n">
        <v>22</v>
      </c>
      <c r="O2" s="9" t="s">
        <v>262</v>
      </c>
      <c r="P2" s="2" t="n">
        <f aca="false">IF(O2="",0,LEN(O2)-LEN(SUBSTITUTE(O2,";",""))+1)</f>
        <v>9</v>
      </c>
      <c r="Q2" s="2" t="n">
        <f aca="false">INDEX(Sections!$B$2:$B$4,MATCH(E2,Sections!$A$2:$A$4,0))</f>
        <v>50</v>
      </c>
      <c r="R2" s="6" t="n">
        <f aca="false">P2/Q2</f>
        <v>0.18</v>
      </c>
      <c r="S2" s="5" t="n">
        <f aca="false">ROUND(Formula!$B$2*I2*20+Formula!$B$3*R2*100+Formula!$B$4*H2*20+Formula!$B$5*MIN(N2*100/Formula!$B$7,100),2)/100</f>
        <v>0.5063</v>
      </c>
    </row>
    <row r="3" customFormat="false" ht="23.85" hidden="false" customHeight="false" outlineLevel="0" collapsed="false">
      <c r="A3" s="9" t="n">
        <v>1002</v>
      </c>
      <c r="B3" s="10" t="s">
        <v>263</v>
      </c>
      <c r="C3" s="10" t="s">
        <v>264</v>
      </c>
      <c r="D3" s="9" t="s">
        <v>265</v>
      </c>
      <c r="E3" s="9" t="s">
        <v>24</v>
      </c>
      <c r="F3" s="9" t="s">
        <v>40</v>
      </c>
      <c r="G3" s="2" t="str">
        <f aca="false">INDEX(Students!$B$2:$B$101,MATCH(F3,Students!$A$2:$A$101,0))</f>
        <v>Apoorva Menon</v>
      </c>
      <c r="H3" s="9" t="n">
        <v>3</v>
      </c>
      <c r="I3" s="9" t="n">
        <v>2</v>
      </c>
      <c r="J3" s="9" t="s">
        <v>259</v>
      </c>
      <c r="K3" s="9" t="s">
        <v>20</v>
      </c>
      <c r="L3" s="9" t="s">
        <v>266</v>
      </c>
      <c r="M3" s="10" t="s">
        <v>261</v>
      </c>
      <c r="N3" s="9" t="n">
        <v>9</v>
      </c>
      <c r="O3" s="9" t="s">
        <v>267</v>
      </c>
      <c r="P3" s="2" t="n">
        <f aca="false">IF(O3="",0,LEN(O3)-LEN(SUBSTITUTE(O3,";",""))+1)</f>
        <v>13</v>
      </c>
      <c r="Q3" s="2" t="n">
        <f aca="false">INDEX(Sections!$B$2:$B$4,MATCH(E3,Sections!$A$2:$A$4,0))</f>
        <v>50</v>
      </c>
      <c r="R3" s="6" t="n">
        <f aca="false">P3/Q3</f>
        <v>0.26</v>
      </c>
      <c r="S3" s="5" t="n">
        <f aca="false">ROUND(Formula!$B$2*I3*20+Formula!$B$3*R3*100+Formula!$B$4*H3*20+Formula!$B$5*MIN(N3*100/Formula!$B$7,100),2)/100</f>
        <v>0.381</v>
      </c>
    </row>
    <row r="4" customFormat="false" ht="23.85" hidden="false" customHeight="false" outlineLevel="0" collapsed="false">
      <c r="A4" s="9" t="n">
        <v>1003</v>
      </c>
      <c r="B4" s="10" t="s">
        <v>268</v>
      </c>
      <c r="C4" s="10" t="s">
        <v>269</v>
      </c>
      <c r="D4" s="9" t="s">
        <v>258</v>
      </c>
      <c r="E4" s="9" t="s">
        <v>24</v>
      </c>
      <c r="F4" s="9" t="s">
        <v>42</v>
      </c>
      <c r="G4" s="2" t="str">
        <f aca="false">INDEX(Students!$B$2:$B$101,MATCH(F4,Students!$A$2:$A$101,0))</f>
        <v>Tejas Desai</v>
      </c>
      <c r="H4" s="9" t="n">
        <v>3</v>
      </c>
      <c r="I4" s="9" t="n">
        <v>2</v>
      </c>
      <c r="J4" s="9" t="s">
        <v>259</v>
      </c>
      <c r="K4" s="9" t="s">
        <v>270</v>
      </c>
      <c r="L4" s="9" t="s">
        <v>260</v>
      </c>
      <c r="M4" s="10" t="s">
        <v>271</v>
      </c>
      <c r="N4" s="9" t="n">
        <v>14</v>
      </c>
      <c r="O4" s="9" t="s">
        <v>272</v>
      </c>
      <c r="P4" s="2" t="n">
        <f aca="false">IF(O4="",0,LEN(O4)-LEN(SUBSTITUTE(O4,";",""))+1)</f>
        <v>12</v>
      </c>
      <c r="Q4" s="2" t="n">
        <f aca="false">INDEX(Sections!$B$2:$B$4,MATCH(E4,Sections!$A$2:$A$4,0))</f>
        <v>50</v>
      </c>
      <c r="R4" s="6" t="n">
        <f aca="false">P4/Q4</f>
        <v>0.24</v>
      </c>
      <c r="S4" s="5" t="n">
        <f aca="false">ROUND(Formula!$B$2*I4*20+Formula!$B$3*R4*100+Formula!$B$4*H4*20+Formula!$B$5*MIN(N4*100/Formula!$B$7,100),2)/100</f>
        <v>0.3907</v>
      </c>
    </row>
    <row r="5" customFormat="false" ht="23.85" hidden="false" customHeight="false" outlineLevel="0" collapsed="false">
      <c r="A5" s="9" t="n">
        <v>1004</v>
      </c>
      <c r="B5" s="10" t="s">
        <v>273</v>
      </c>
      <c r="C5" s="10" t="s">
        <v>274</v>
      </c>
      <c r="D5" s="9" t="s">
        <v>265</v>
      </c>
      <c r="E5" s="9" t="s">
        <v>24</v>
      </c>
      <c r="F5" s="9" t="s">
        <v>44</v>
      </c>
      <c r="G5" s="2" t="str">
        <f aca="false">INDEX(Students!$B$2:$B$101,MATCH(F5,Students!$A$2:$A$101,0))</f>
        <v>Swati Apte</v>
      </c>
      <c r="H5" s="9" t="n">
        <v>5</v>
      </c>
      <c r="I5" s="9" t="n">
        <v>3</v>
      </c>
      <c r="J5" s="9" t="s">
        <v>259</v>
      </c>
      <c r="K5" s="9" t="s">
        <v>275</v>
      </c>
      <c r="L5" s="9" t="s">
        <v>266</v>
      </c>
      <c r="M5" s="10" t="s">
        <v>276</v>
      </c>
      <c r="N5" s="9" t="n">
        <v>6</v>
      </c>
      <c r="O5" s="9" t="s">
        <v>277</v>
      </c>
      <c r="P5" s="2" t="n">
        <f aca="false">IF(O5="",0,LEN(O5)-LEN(SUBSTITUTE(O5,";",""))+1)</f>
        <v>29</v>
      </c>
      <c r="Q5" s="2" t="n">
        <f aca="false">INDEX(Sections!$B$2:$B$4,MATCH(E5,Sections!$A$2:$A$4,0))</f>
        <v>50</v>
      </c>
      <c r="R5" s="6" t="n">
        <f aca="false">P5/Q5</f>
        <v>0.58</v>
      </c>
      <c r="S5" s="5" t="n">
        <f aca="false">ROUND(Formula!$B$2*I5*20+Formula!$B$3*R5*100+Formula!$B$4*H5*20+Formula!$B$5*MIN(N5*100/Formula!$B$7,100),2)/100</f>
        <v>0.633</v>
      </c>
    </row>
    <row r="6" customFormat="false" ht="23.85" hidden="false" customHeight="false" outlineLevel="0" collapsed="false">
      <c r="A6" s="9" t="n">
        <v>1005</v>
      </c>
      <c r="B6" s="10" t="s">
        <v>278</v>
      </c>
      <c r="C6" s="10" t="s">
        <v>279</v>
      </c>
      <c r="D6" s="9" t="s">
        <v>258</v>
      </c>
      <c r="E6" s="9" t="s">
        <v>24</v>
      </c>
      <c r="F6" s="9" t="s">
        <v>46</v>
      </c>
      <c r="G6" s="2" t="str">
        <f aca="false">INDEX(Students!$B$2:$B$101,MATCH(F6,Students!$A$2:$A$101,0))</f>
        <v>Pallavi Sawant</v>
      </c>
      <c r="H6" s="9" t="n">
        <v>3</v>
      </c>
      <c r="I6" s="9" t="n">
        <v>2</v>
      </c>
      <c r="J6" s="9" t="s">
        <v>259</v>
      </c>
      <c r="K6" s="9" t="s">
        <v>270</v>
      </c>
      <c r="L6" s="9" t="s">
        <v>260</v>
      </c>
      <c r="M6" s="10" t="s">
        <v>271</v>
      </c>
      <c r="N6" s="9" t="n">
        <v>4</v>
      </c>
      <c r="O6" s="9" t="s">
        <v>280</v>
      </c>
      <c r="P6" s="2" t="n">
        <f aca="false">IF(O6="",0,LEN(O6)-LEN(SUBSTITUTE(O6,";",""))+1)</f>
        <v>10</v>
      </c>
      <c r="Q6" s="2" t="n">
        <f aca="false">INDEX(Sections!$B$2:$B$4,MATCH(E6,Sections!$A$2:$A$4,0))</f>
        <v>50</v>
      </c>
      <c r="R6" s="6" t="n">
        <f aca="false">P6/Q6</f>
        <v>0.2</v>
      </c>
      <c r="S6" s="5" t="n">
        <f aca="false">ROUND(Formula!$B$2*I6*20+Formula!$B$3*R6*100+Formula!$B$4*H6*20+Formula!$B$5*MIN(N6*100/Formula!$B$7,100),2)/100</f>
        <v>0.3433</v>
      </c>
    </row>
    <row r="7" customFormat="false" ht="23.85" hidden="false" customHeight="false" outlineLevel="0" collapsed="false">
      <c r="A7" s="9" t="n">
        <v>1006</v>
      </c>
      <c r="B7" s="10" t="s">
        <v>281</v>
      </c>
      <c r="C7" s="10" t="s">
        <v>282</v>
      </c>
      <c r="D7" s="9" t="s">
        <v>265</v>
      </c>
      <c r="E7" s="9" t="s">
        <v>24</v>
      </c>
      <c r="F7" s="9" t="s">
        <v>48</v>
      </c>
      <c r="G7" s="2" t="str">
        <f aca="false">INDEX(Students!$B$2:$B$101,MATCH(F7,Students!$A$2:$A$101,0))</f>
        <v>Sayali Raut</v>
      </c>
      <c r="H7" s="9" t="n">
        <v>5</v>
      </c>
      <c r="I7" s="9" t="n">
        <v>3</v>
      </c>
      <c r="J7" s="9" t="s">
        <v>259</v>
      </c>
      <c r="K7" s="9" t="s">
        <v>275</v>
      </c>
      <c r="L7" s="9" t="s">
        <v>266</v>
      </c>
      <c r="M7" s="10" t="s">
        <v>276</v>
      </c>
      <c r="N7" s="9" t="n">
        <v>23</v>
      </c>
      <c r="O7" s="9" t="s">
        <v>283</v>
      </c>
      <c r="P7" s="2" t="n">
        <f aca="false">IF(O7="",0,LEN(O7)-LEN(SUBSTITUTE(O7,";",""))+1)</f>
        <v>7</v>
      </c>
      <c r="Q7" s="2" t="n">
        <f aca="false">INDEX(Sections!$B$2:$B$4,MATCH(E7,Sections!$A$2:$A$4,0))</f>
        <v>50</v>
      </c>
      <c r="R7" s="6" t="n">
        <f aca="false">P7/Q7</f>
        <v>0.14</v>
      </c>
      <c r="S7" s="5" t="n">
        <f aca="false">ROUND(Formula!$B$2*I7*20+Formula!$B$3*R7*100+Formula!$B$4*H7*20+Formula!$B$5*MIN(N7*100/Formula!$B$7,100),2)/100</f>
        <v>0.5357</v>
      </c>
    </row>
    <row r="8" customFormat="false" ht="15" hidden="false" customHeight="false" outlineLevel="0" collapsed="false">
      <c r="A8" s="9" t="n">
        <v>1007</v>
      </c>
      <c r="B8" s="10" t="s">
        <v>284</v>
      </c>
      <c r="C8" s="10" t="s">
        <v>285</v>
      </c>
      <c r="D8" s="9" t="s">
        <v>286</v>
      </c>
      <c r="E8" s="9" t="s">
        <v>24</v>
      </c>
      <c r="F8" s="9" t="s">
        <v>50</v>
      </c>
      <c r="G8" s="2" t="str">
        <f aca="false">INDEX(Students!$B$2:$B$101,MATCH(F8,Students!$A$2:$A$101,0))</f>
        <v>Vaishnavi Tambe</v>
      </c>
      <c r="H8" s="9" t="n">
        <v>5</v>
      </c>
      <c r="I8" s="9" t="n">
        <v>3</v>
      </c>
      <c r="J8" s="9" t="s">
        <v>259</v>
      </c>
      <c r="K8" s="9" t="s">
        <v>287</v>
      </c>
      <c r="L8" s="9"/>
      <c r="M8" s="10"/>
      <c r="N8" s="9" t="n">
        <v>4</v>
      </c>
      <c r="O8" s="9" t="s">
        <v>288</v>
      </c>
      <c r="P8" s="2" t="n">
        <f aca="false">IF(O8="",0,LEN(O8)-LEN(SUBSTITUTE(O8,";",""))+1)</f>
        <v>28</v>
      </c>
      <c r="Q8" s="2" t="n">
        <f aca="false">INDEX(Sections!$B$2:$B$4,MATCH(E8,Sections!$A$2:$A$4,0))</f>
        <v>50</v>
      </c>
      <c r="R8" s="6" t="n">
        <f aca="false">P8/Q8</f>
        <v>0.56</v>
      </c>
      <c r="S8" s="5" t="n">
        <f aca="false">ROUND(Formula!$B$2*I8*20+Formula!$B$3*R8*100+Formula!$B$4*H8*20+Formula!$B$5*MIN(N8*100/Formula!$B$7,100),2)/100</f>
        <v>0.6193</v>
      </c>
    </row>
    <row r="9" customFormat="false" ht="15" hidden="false" customHeight="false" outlineLevel="0" collapsed="false">
      <c r="A9" s="9" t="n">
        <v>1008</v>
      </c>
      <c r="B9" s="10" t="s">
        <v>289</v>
      </c>
      <c r="C9" s="10" t="s">
        <v>290</v>
      </c>
      <c r="D9" s="9" t="s">
        <v>291</v>
      </c>
      <c r="E9" s="9" t="s">
        <v>24</v>
      </c>
      <c r="F9" s="9" t="s">
        <v>52</v>
      </c>
      <c r="G9" s="2" t="str">
        <f aca="false">INDEX(Students!$B$2:$B$101,MATCH(F9,Students!$A$2:$A$101,0))</f>
        <v>Kiran Thakur</v>
      </c>
      <c r="H9" s="9" t="n">
        <v>3</v>
      </c>
      <c r="I9" s="9" t="n">
        <v>3</v>
      </c>
      <c r="J9" s="9" t="s">
        <v>259</v>
      </c>
      <c r="K9" s="9" t="s">
        <v>287</v>
      </c>
      <c r="L9" s="9"/>
      <c r="M9" s="10"/>
      <c r="N9" s="9" t="n">
        <v>3</v>
      </c>
      <c r="O9" s="9" t="s">
        <v>52</v>
      </c>
      <c r="P9" s="2" t="n">
        <f aca="false">IF(O9="",0,LEN(O9)-LEN(SUBSTITUTE(O9,";",""))+1)</f>
        <v>1</v>
      </c>
      <c r="Q9" s="2" t="n">
        <f aca="false">INDEX(Sections!$B$2:$B$4,MATCH(E9,Sections!$A$2:$A$4,0))</f>
        <v>50</v>
      </c>
      <c r="R9" s="6" t="n">
        <f aca="false">P9/Q9</f>
        <v>0.02</v>
      </c>
      <c r="S9" s="5" t="n">
        <f aca="false">ROUND(Formula!$B$2*I9*20+Formula!$B$3*R9*100+Formula!$B$4*H9*20+Formula!$B$5*MIN(N9*100/Formula!$B$7,100),2)/100</f>
        <v>0.347</v>
      </c>
    </row>
    <row r="10" customFormat="false" ht="23.85" hidden="false" customHeight="false" outlineLevel="0" collapsed="false">
      <c r="A10" s="9" t="n">
        <v>1009</v>
      </c>
      <c r="B10" s="10" t="s">
        <v>292</v>
      </c>
      <c r="C10" s="10" t="s">
        <v>293</v>
      </c>
      <c r="D10" s="9" t="s">
        <v>258</v>
      </c>
      <c r="E10" s="9" t="s">
        <v>24</v>
      </c>
      <c r="F10" s="9" t="s">
        <v>54</v>
      </c>
      <c r="G10" s="2" t="str">
        <f aca="false">INDEX(Students!$B$2:$B$101,MATCH(F10,Students!$A$2:$A$101,0))</f>
        <v>Vedant Sharma</v>
      </c>
      <c r="H10" s="9" t="n">
        <v>4</v>
      </c>
      <c r="I10" s="9" t="n">
        <v>3</v>
      </c>
      <c r="J10" s="9" t="s">
        <v>259</v>
      </c>
      <c r="K10" s="9" t="s">
        <v>294</v>
      </c>
      <c r="L10" s="9"/>
      <c r="M10" s="10" t="s">
        <v>295</v>
      </c>
      <c r="N10" s="9" t="n">
        <v>4</v>
      </c>
      <c r="O10" s="9" t="s">
        <v>296</v>
      </c>
      <c r="P10" s="2" t="n">
        <f aca="false">IF(O10="",0,LEN(O10)-LEN(SUBSTITUTE(O10,";",""))+1)</f>
        <v>4</v>
      </c>
      <c r="Q10" s="2" t="n">
        <f aca="false">INDEX(Sections!$B$2:$B$4,MATCH(E10,Sections!$A$2:$A$4,0))</f>
        <v>50</v>
      </c>
      <c r="R10" s="6" t="n">
        <f aca="false">P10/Q10</f>
        <v>0.08</v>
      </c>
      <c r="S10" s="5" t="n">
        <f aca="false">ROUND(Formula!$B$2*I10*20+Formula!$B$3*R10*100+Formula!$B$4*H10*20+Formula!$B$5*MIN(N10*100/Formula!$B$7,100),2)/100</f>
        <v>0.4113</v>
      </c>
    </row>
    <row r="11" customFormat="false" ht="15" hidden="false" customHeight="false" outlineLevel="0" collapsed="false">
      <c r="A11" s="9" t="n">
        <v>1010</v>
      </c>
      <c r="B11" s="10" t="s">
        <v>297</v>
      </c>
      <c r="C11" s="10" t="s">
        <v>298</v>
      </c>
      <c r="D11" s="9" t="s">
        <v>265</v>
      </c>
      <c r="E11" s="9" t="s">
        <v>24</v>
      </c>
      <c r="F11" s="9" t="s">
        <v>56</v>
      </c>
      <c r="G11" s="2" t="str">
        <f aca="false">INDEX(Students!$B$2:$B$101,MATCH(F11,Students!$A$2:$A$101,0))</f>
        <v>Harshada Jadhav</v>
      </c>
      <c r="H11" s="9" t="n">
        <v>4</v>
      </c>
      <c r="I11" s="9" t="n">
        <v>3</v>
      </c>
      <c r="J11" s="9" t="s">
        <v>259</v>
      </c>
      <c r="K11" s="9" t="s">
        <v>20</v>
      </c>
      <c r="L11" s="9" t="s">
        <v>266</v>
      </c>
      <c r="M11" s="10" t="s">
        <v>261</v>
      </c>
      <c r="N11" s="9" t="n">
        <v>10</v>
      </c>
      <c r="O11" s="9" t="s">
        <v>299</v>
      </c>
      <c r="P11" s="2" t="n">
        <f aca="false">IF(O11="",0,LEN(O11)-LEN(SUBSTITUTE(O11,";",""))+1)</f>
        <v>2</v>
      </c>
      <c r="Q11" s="2" t="n">
        <f aca="false">INDEX(Sections!$B$2:$B$4,MATCH(E11,Sections!$A$2:$A$4,0))</f>
        <v>50</v>
      </c>
      <c r="R11" s="6" t="n">
        <f aca="false">P11/Q11</f>
        <v>0.04</v>
      </c>
      <c r="S11" s="5" t="n">
        <f aca="false">ROUND(Formula!$B$2*I11*20+Formula!$B$3*R11*100+Formula!$B$4*H11*20+Formula!$B$5*MIN(N11*100/Formula!$B$7,100),2)/100</f>
        <v>0.4173</v>
      </c>
    </row>
    <row r="12" customFormat="false" ht="23.85" hidden="false" customHeight="false" outlineLevel="0" collapsed="false">
      <c r="A12" s="9" t="n">
        <v>1011</v>
      </c>
      <c r="B12" s="10" t="s">
        <v>300</v>
      </c>
      <c r="C12" s="10" t="s">
        <v>301</v>
      </c>
      <c r="D12" s="9" t="s">
        <v>286</v>
      </c>
      <c r="E12" s="9" t="s">
        <v>24</v>
      </c>
      <c r="F12" s="9" t="s">
        <v>58</v>
      </c>
      <c r="G12" s="2" t="str">
        <f aca="false">INDEX(Students!$B$2:$B$101,MATCH(F12,Students!$A$2:$A$101,0))</f>
        <v>Yash Nair</v>
      </c>
      <c r="H12" s="9" t="n">
        <v>3</v>
      </c>
      <c r="I12" s="9" t="n">
        <v>2</v>
      </c>
      <c r="J12" s="9" t="s">
        <v>259</v>
      </c>
      <c r="K12" s="9" t="s">
        <v>302</v>
      </c>
      <c r="L12" s="9" t="s">
        <v>303</v>
      </c>
      <c r="M12" s="10" t="s">
        <v>304</v>
      </c>
      <c r="N12" s="9" t="n">
        <v>8</v>
      </c>
      <c r="O12" s="9" t="s">
        <v>305</v>
      </c>
      <c r="P12" s="2" t="n">
        <f aca="false">IF(O12="",0,LEN(O12)-LEN(SUBSTITUTE(O12,";",""))+1)</f>
        <v>13</v>
      </c>
      <c r="Q12" s="2" t="n">
        <f aca="false">INDEX(Sections!$B$2:$B$4,MATCH(E12,Sections!$A$2:$A$4,0))</f>
        <v>50</v>
      </c>
      <c r="R12" s="6" t="n">
        <f aca="false">P12/Q12</f>
        <v>0.26</v>
      </c>
      <c r="S12" s="5" t="n">
        <f aca="false">ROUND(Formula!$B$2*I12*20+Formula!$B$3*R12*100+Formula!$B$4*H12*20+Formula!$B$5*MIN(N12*100/Formula!$B$7,100),2)/100</f>
        <v>0.3777</v>
      </c>
    </row>
    <row r="13" customFormat="false" ht="15" hidden="false" customHeight="false" outlineLevel="0" collapsed="false">
      <c r="A13" s="9" t="n">
        <v>1012</v>
      </c>
      <c r="B13" s="10" t="s">
        <v>306</v>
      </c>
      <c r="C13" s="10" t="s">
        <v>307</v>
      </c>
      <c r="D13" s="9" t="s">
        <v>286</v>
      </c>
      <c r="E13" s="9" t="s">
        <v>24</v>
      </c>
      <c r="F13" s="9" t="s">
        <v>60</v>
      </c>
      <c r="G13" s="2" t="str">
        <f aca="false">INDEX(Students!$B$2:$B$101,MATCH(F13,Students!$A$2:$A$101,0))</f>
        <v>Harsh Thakur</v>
      </c>
      <c r="H13" s="9" t="n">
        <v>2</v>
      </c>
      <c r="I13" s="9" t="n">
        <v>3</v>
      </c>
      <c r="J13" s="9" t="s">
        <v>259</v>
      </c>
      <c r="K13" s="9" t="s">
        <v>287</v>
      </c>
      <c r="L13" s="9"/>
      <c r="M13" s="10"/>
      <c r="N13" s="9" t="n">
        <v>2</v>
      </c>
      <c r="O13" s="9" t="s">
        <v>308</v>
      </c>
      <c r="P13" s="2" t="n">
        <f aca="false">IF(O13="",0,LEN(O13)-LEN(SUBSTITUTE(O13,";",""))+1)</f>
        <v>21</v>
      </c>
      <c r="Q13" s="2" t="n">
        <f aca="false">INDEX(Sections!$B$2:$B$4,MATCH(E13,Sections!$A$2:$A$4,0))</f>
        <v>50</v>
      </c>
      <c r="R13" s="6" t="n">
        <f aca="false">P13/Q13</f>
        <v>0.42</v>
      </c>
      <c r="S13" s="5" t="n">
        <f aca="false">ROUND(Formula!$B$2*I13*20+Formula!$B$3*R13*100+Formula!$B$4*H13*20+Formula!$B$5*MIN(N13*100/Formula!$B$7,100),2)/100</f>
        <v>0.4437</v>
      </c>
    </row>
    <row r="14" customFormat="false" ht="23.85" hidden="false" customHeight="false" outlineLevel="0" collapsed="false">
      <c r="A14" s="9" t="n">
        <v>1013</v>
      </c>
      <c r="B14" s="10" t="s">
        <v>309</v>
      </c>
      <c r="C14" s="10" t="s">
        <v>310</v>
      </c>
      <c r="D14" s="9" t="s">
        <v>258</v>
      </c>
      <c r="E14" s="9" t="s">
        <v>24</v>
      </c>
      <c r="F14" s="9" t="s">
        <v>62</v>
      </c>
      <c r="G14" s="2" t="str">
        <f aca="false">INDEX(Students!$B$2:$B$101,MATCH(F14,Students!$A$2:$A$101,0))</f>
        <v>Amit Rane</v>
      </c>
      <c r="H14" s="9" t="n">
        <v>3</v>
      </c>
      <c r="I14" s="9" t="n">
        <v>2</v>
      </c>
      <c r="J14" s="9" t="s">
        <v>259</v>
      </c>
      <c r="K14" s="9" t="s">
        <v>20</v>
      </c>
      <c r="L14" s="9" t="s">
        <v>260</v>
      </c>
      <c r="M14" s="10" t="s">
        <v>261</v>
      </c>
      <c r="N14" s="9" t="n">
        <v>11</v>
      </c>
      <c r="O14" s="9" t="s">
        <v>311</v>
      </c>
      <c r="P14" s="2" t="n">
        <f aca="false">IF(O14="",0,LEN(O14)-LEN(SUBSTITUTE(O14,";",""))+1)</f>
        <v>2</v>
      </c>
      <c r="Q14" s="2" t="n">
        <f aca="false">INDEX(Sections!$B$2:$B$4,MATCH(E14,Sections!$A$2:$A$4,0))</f>
        <v>50</v>
      </c>
      <c r="R14" s="6" t="n">
        <f aca="false">P14/Q14</f>
        <v>0.04</v>
      </c>
      <c r="S14" s="5" t="n">
        <f aca="false">ROUND(Formula!$B$2*I14*20+Formula!$B$3*R14*100+Formula!$B$4*H14*20+Formula!$B$5*MIN(N14*100/Formula!$B$7,100),2)/100</f>
        <v>0.3107</v>
      </c>
    </row>
    <row r="15" customFormat="false" ht="15" hidden="false" customHeight="false" outlineLevel="0" collapsed="false">
      <c r="A15" s="9" t="n">
        <v>1014</v>
      </c>
      <c r="B15" s="10" t="s">
        <v>312</v>
      </c>
      <c r="C15" s="10" t="s">
        <v>313</v>
      </c>
      <c r="D15" s="9" t="s">
        <v>258</v>
      </c>
      <c r="E15" s="9" t="s">
        <v>24</v>
      </c>
      <c r="F15" s="9" t="s">
        <v>64</v>
      </c>
      <c r="G15" s="2" t="str">
        <f aca="false">INDEX(Students!$B$2:$B$101,MATCH(F15,Students!$A$2:$A$101,0))</f>
        <v>Vaishnavi Rane</v>
      </c>
      <c r="H15" s="9" t="n">
        <v>3</v>
      </c>
      <c r="I15" s="9" t="n">
        <v>3</v>
      </c>
      <c r="J15" s="9" t="s">
        <v>259</v>
      </c>
      <c r="K15" s="9" t="s">
        <v>287</v>
      </c>
      <c r="L15" s="9"/>
      <c r="M15" s="10"/>
      <c r="N15" s="9" t="n">
        <v>2</v>
      </c>
      <c r="O15" s="9" t="s">
        <v>314</v>
      </c>
      <c r="P15" s="2" t="n">
        <f aca="false">IF(O15="",0,LEN(O15)-LEN(SUBSTITUTE(O15,";",""))+1)</f>
        <v>3</v>
      </c>
      <c r="Q15" s="2" t="n">
        <f aca="false">INDEX(Sections!$B$2:$B$4,MATCH(E15,Sections!$A$2:$A$4,0))</f>
        <v>50</v>
      </c>
      <c r="R15" s="6" t="n">
        <f aca="false">P15/Q15</f>
        <v>0.06</v>
      </c>
      <c r="S15" s="5" t="n">
        <f aca="false">ROUND(Formula!$B$2*I15*20+Formula!$B$3*R15*100+Formula!$B$4*H15*20+Formula!$B$5*MIN(N15*100/Formula!$B$7,100),2)/100</f>
        <v>0.3577</v>
      </c>
    </row>
    <row r="16" customFormat="false" ht="23.85" hidden="false" customHeight="false" outlineLevel="0" collapsed="false">
      <c r="A16" s="9" t="n">
        <v>1015</v>
      </c>
      <c r="B16" s="10" t="s">
        <v>315</v>
      </c>
      <c r="C16" s="10" t="s">
        <v>316</v>
      </c>
      <c r="D16" s="9" t="s">
        <v>291</v>
      </c>
      <c r="E16" s="9" t="s">
        <v>24</v>
      </c>
      <c r="F16" s="9" t="s">
        <v>66</v>
      </c>
      <c r="G16" s="2" t="str">
        <f aca="false">INDEX(Students!$B$2:$B$101,MATCH(F16,Students!$A$2:$A$101,0))</f>
        <v>Sneha Naik</v>
      </c>
      <c r="H16" s="9" t="n">
        <v>5</v>
      </c>
      <c r="I16" s="9" t="n">
        <v>3</v>
      </c>
      <c r="J16" s="9" t="s">
        <v>259</v>
      </c>
      <c r="K16" s="9" t="s">
        <v>287</v>
      </c>
      <c r="L16" s="9"/>
      <c r="M16" s="10"/>
      <c r="N16" s="9" t="n">
        <v>4</v>
      </c>
      <c r="O16" s="9" t="s">
        <v>317</v>
      </c>
      <c r="P16" s="2" t="n">
        <f aca="false">IF(O16="",0,LEN(O16)-LEN(SUBSTITUTE(O16,";",""))+1)</f>
        <v>3</v>
      </c>
      <c r="Q16" s="2" t="n">
        <f aca="false">INDEX(Sections!$B$2:$B$4,MATCH(E16,Sections!$A$2:$A$4,0))</f>
        <v>50</v>
      </c>
      <c r="R16" s="6" t="n">
        <f aca="false">P16/Q16</f>
        <v>0.06</v>
      </c>
      <c r="S16" s="5" t="n">
        <f aca="false">ROUND(Formula!$B$2*I16*20+Formula!$B$3*R16*100+Formula!$B$4*H16*20+Formula!$B$5*MIN(N16*100/Formula!$B$7,100),2)/100</f>
        <v>0.4443</v>
      </c>
    </row>
    <row r="17" customFormat="false" ht="15" hidden="false" customHeight="false" outlineLevel="0" collapsed="false">
      <c r="A17" s="9" t="n">
        <v>1016</v>
      </c>
      <c r="B17" s="10" t="s">
        <v>318</v>
      </c>
      <c r="C17" s="10" t="s">
        <v>319</v>
      </c>
      <c r="D17" s="9" t="s">
        <v>286</v>
      </c>
      <c r="E17" s="9" t="s">
        <v>24</v>
      </c>
      <c r="F17" s="9" t="s">
        <v>68</v>
      </c>
      <c r="G17" s="2" t="str">
        <f aca="false">INDEX(Students!$B$2:$B$101,MATCH(F17,Students!$A$2:$A$101,0))</f>
        <v>Tanvi Shah</v>
      </c>
      <c r="H17" s="9" t="n">
        <v>3</v>
      </c>
      <c r="I17" s="9" t="n">
        <v>3</v>
      </c>
      <c r="J17" s="9" t="s">
        <v>259</v>
      </c>
      <c r="K17" s="9" t="s">
        <v>20</v>
      </c>
      <c r="L17" s="9" t="s">
        <v>303</v>
      </c>
      <c r="M17" s="10" t="s">
        <v>261</v>
      </c>
      <c r="N17" s="9" t="n">
        <v>5</v>
      </c>
      <c r="O17" s="9" t="s">
        <v>320</v>
      </c>
      <c r="P17" s="2" t="n">
        <f aca="false">IF(O17="",0,LEN(O17)-LEN(SUBSTITUTE(O17,";",""))+1)</f>
        <v>2</v>
      </c>
      <c r="Q17" s="2" t="n">
        <f aca="false">INDEX(Sections!$B$2:$B$4,MATCH(E17,Sections!$A$2:$A$4,0))</f>
        <v>50</v>
      </c>
      <c r="R17" s="6" t="n">
        <f aca="false">P17/Q17</f>
        <v>0.04</v>
      </c>
      <c r="S17" s="5" t="n">
        <f aca="false">ROUND(Formula!$B$2*I17*20+Formula!$B$3*R17*100+Formula!$B$4*H17*20+Formula!$B$5*MIN(N17*100/Formula!$B$7,100),2)/100</f>
        <v>0.3607</v>
      </c>
    </row>
    <row r="18" customFormat="false" ht="15" hidden="false" customHeight="false" outlineLevel="0" collapsed="false">
      <c r="A18" s="9" t="n">
        <v>1017</v>
      </c>
      <c r="B18" s="10" t="s">
        <v>321</v>
      </c>
      <c r="C18" s="10" t="s">
        <v>322</v>
      </c>
      <c r="D18" s="9" t="s">
        <v>323</v>
      </c>
      <c r="E18" s="9" t="s">
        <v>24</v>
      </c>
      <c r="F18" s="9" t="s">
        <v>70</v>
      </c>
      <c r="G18" s="2" t="str">
        <f aca="false">INDEX(Students!$B$2:$B$101,MATCH(F18,Students!$A$2:$A$101,0))</f>
        <v>Riya Gupta</v>
      </c>
      <c r="H18" s="9" t="n">
        <v>5</v>
      </c>
      <c r="I18" s="9" t="n">
        <v>5</v>
      </c>
      <c r="J18" s="9" t="s">
        <v>324</v>
      </c>
      <c r="K18" s="9" t="s">
        <v>275</v>
      </c>
      <c r="L18" s="9" t="s">
        <v>260</v>
      </c>
      <c r="M18" s="10" t="s">
        <v>276</v>
      </c>
      <c r="N18" s="9" t="n">
        <v>15</v>
      </c>
      <c r="O18" s="9" t="s">
        <v>325</v>
      </c>
      <c r="P18" s="2" t="n">
        <f aca="false">IF(O18="",0,LEN(O18)-LEN(SUBSTITUTE(O18,";",""))+1)</f>
        <v>13</v>
      </c>
      <c r="Q18" s="2" t="n">
        <f aca="false">INDEX(Sections!$B$2:$B$4,MATCH(E18,Sections!$A$2:$A$4,0))</f>
        <v>50</v>
      </c>
      <c r="R18" s="6" t="n">
        <f aca="false">P18/Q18</f>
        <v>0.26</v>
      </c>
      <c r="S18" s="5" t="n">
        <f aca="false">ROUND(Formula!$B$2*I18*20+Formula!$B$3*R18*100+Formula!$B$4*H18*20+Formula!$B$5*MIN(N18*100/Formula!$B$7,100),2)/100</f>
        <v>0.691</v>
      </c>
    </row>
    <row r="19" customFormat="false" ht="23.85" hidden="false" customHeight="false" outlineLevel="0" collapsed="false">
      <c r="A19" s="9" t="n">
        <v>1018</v>
      </c>
      <c r="B19" s="10" t="s">
        <v>326</v>
      </c>
      <c r="C19" s="10" t="s">
        <v>327</v>
      </c>
      <c r="D19" s="9" t="s">
        <v>265</v>
      </c>
      <c r="E19" s="9" t="s">
        <v>24</v>
      </c>
      <c r="F19" s="9" t="s">
        <v>72</v>
      </c>
      <c r="G19" s="2" t="str">
        <f aca="false">INDEX(Students!$B$2:$B$101,MATCH(F19,Students!$A$2:$A$101,0))</f>
        <v>Aarti Mane</v>
      </c>
      <c r="H19" s="9" t="n">
        <v>4</v>
      </c>
      <c r="I19" s="9" t="n">
        <v>3</v>
      </c>
      <c r="J19" s="9" t="s">
        <v>259</v>
      </c>
      <c r="K19" s="9" t="s">
        <v>20</v>
      </c>
      <c r="L19" s="9" t="s">
        <v>266</v>
      </c>
      <c r="M19" s="10" t="s">
        <v>261</v>
      </c>
      <c r="N19" s="9" t="n">
        <v>10</v>
      </c>
      <c r="O19" s="9" t="s">
        <v>328</v>
      </c>
      <c r="P19" s="2" t="n">
        <f aca="false">IF(O19="",0,LEN(O19)-LEN(SUBSTITUTE(O19,";",""))+1)</f>
        <v>4</v>
      </c>
      <c r="Q19" s="2" t="n">
        <f aca="false">INDEX(Sections!$B$2:$B$4,MATCH(E19,Sections!$A$2:$A$4,0))</f>
        <v>50</v>
      </c>
      <c r="R19" s="6" t="n">
        <f aca="false">P19/Q19</f>
        <v>0.08</v>
      </c>
      <c r="S19" s="5" t="n">
        <f aca="false">ROUND(Formula!$B$2*I19*20+Formula!$B$3*R19*100+Formula!$B$4*H19*20+Formula!$B$5*MIN(N19*100/Formula!$B$7,100),2)/100</f>
        <v>0.4313</v>
      </c>
    </row>
    <row r="20" customFormat="false" ht="23.85" hidden="false" customHeight="false" outlineLevel="0" collapsed="false">
      <c r="A20" s="9" t="n">
        <v>1019</v>
      </c>
      <c r="B20" s="10" t="s">
        <v>329</v>
      </c>
      <c r="C20" s="10" t="s">
        <v>330</v>
      </c>
      <c r="D20" s="9" t="s">
        <v>258</v>
      </c>
      <c r="E20" s="9" t="s">
        <v>24</v>
      </c>
      <c r="F20" s="9" t="s">
        <v>74</v>
      </c>
      <c r="G20" s="2" t="str">
        <f aca="false">INDEX(Students!$B$2:$B$101,MATCH(F20,Students!$A$2:$A$101,0))</f>
        <v>Trupti Bapat</v>
      </c>
      <c r="H20" s="9" t="n">
        <v>3</v>
      </c>
      <c r="I20" s="9" t="n">
        <v>3</v>
      </c>
      <c r="J20" s="9" t="s">
        <v>259</v>
      </c>
      <c r="K20" s="9" t="s">
        <v>294</v>
      </c>
      <c r="L20" s="9"/>
      <c r="M20" s="10" t="s">
        <v>295</v>
      </c>
      <c r="N20" s="9" t="n">
        <v>6</v>
      </c>
      <c r="O20" s="9" t="s">
        <v>331</v>
      </c>
      <c r="P20" s="2" t="n">
        <f aca="false">IF(O20="",0,LEN(O20)-LEN(SUBSTITUTE(O20,";",""))+1)</f>
        <v>9</v>
      </c>
      <c r="Q20" s="2" t="n">
        <f aca="false">INDEX(Sections!$B$2:$B$4,MATCH(E20,Sections!$A$2:$A$4,0))</f>
        <v>50</v>
      </c>
      <c r="R20" s="6" t="n">
        <f aca="false">P20/Q20</f>
        <v>0.18</v>
      </c>
      <c r="S20" s="5" t="n">
        <f aca="false">ROUND(Formula!$B$2*I20*20+Formula!$B$3*R20*100+Formula!$B$4*H20*20+Formula!$B$5*MIN(N20*100/Formula!$B$7,100),2)/100</f>
        <v>0.413</v>
      </c>
    </row>
    <row r="21" customFormat="false" ht="23.85" hidden="false" customHeight="false" outlineLevel="0" collapsed="false">
      <c r="A21" s="9" t="n">
        <v>1020</v>
      </c>
      <c r="B21" s="10" t="s">
        <v>332</v>
      </c>
      <c r="C21" s="10" t="s">
        <v>333</v>
      </c>
      <c r="D21" s="9" t="s">
        <v>334</v>
      </c>
      <c r="E21" s="9" t="s">
        <v>24</v>
      </c>
      <c r="F21" s="9" t="s">
        <v>76</v>
      </c>
      <c r="G21" s="2" t="str">
        <f aca="false">INDEX(Students!$B$2:$B$101,MATCH(F21,Students!$A$2:$A$101,0))</f>
        <v>Vivek Lad</v>
      </c>
      <c r="H21" s="9" t="n">
        <v>3</v>
      </c>
      <c r="I21" s="9" t="n">
        <v>3</v>
      </c>
      <c r="J21" s="9" t="s">
        <v>259</v>
      </c>
      <c r="K21" s="9" t="s">
        <v>287</v>
      </c>
      <c r="L21" s="9"/>
      <c r="M21" s="10"/>
      <c r="N21" s="9" t="n">
        <v>2</v>
      </c>
      <c r="O21" s="9" t="s">
        <v>335</v>
      </c>
      <c r="P21" s="2" t="n">
        <f aca="false">IF(O21="",0,LEN(O21)-LEN(SUBSTITUTE(O21,";",""))+1)</f>
        <v>7</v>
      </c>
      <c r="Q21" s="2" t="n">
        <f aca="false">INDEX(Sections!$B$2:$B$4,MATCH(E21,Sections!$A$2:$A$4,0))</f>
        <v>50</v>
      </c>
      <c r="R21" s="6" t="n">
        <f aca="false">P21/Q21</f>
        <v>0.14</v>
      </c>
      <c r="S21" s="5" t="n">
        <f aca="false">ROUND(Formula!$B$2*I21*20+Formula!$B$3*R21*100+Formula!$B$4*H21*20+Formula!$B$5*MIN(N21*100/Formula!$B$7,100),2)/100</f>
        <v>0.3857</v>
      </c>
    </row>
    <row r="22" customFormat="false" ht="23.85" hidden="false" customHeight="false" outlineLevel="0" collapsed="false">
      <c r="A22" s="9" t="n">
        <v>1021</v>
      </c>
      <c r="B22" s="10" t="s">
        <v>336</v>
      </c>
      <c r="C22" s="10" t="s">
        <v>337</v>
      </c>
      <c r="D22" s="9" t="s">
        <v>258</v>
      </c>
      <c r="E22" s="9" t="s">
        <v>24</v>
      </c>
      <c r="F22" s="9" t="s">
        <v>78</v>
      </c>
      <c r="G22" s="2" t="str">
        <f aca="false">INDEX(Students!$B$2:$B$101,MATCH(F22,Students!$A$2:$A$101,0))</f>
        <v>Ananya Jadhav</v>
      </c>
      <c r="H22" s="9" t="n">
        <v>4</v>
      </c>
      <c r="I22" s="9" t="n">
        <v>3</v>
      </c>
      <c r="J22" s="9" t="s">
        <v>259</v>
      </c>
      <c r="K22" s="9" t="s">
        <v>338</v>
      </c>
      <c r="L22" s="9" t="s">
        <v>260</v>
      </c>
      <c r="M22" s="10" t="s">
        <v>339</v>
      </c>
      <c r="N22" s="9" t="n">
        <v>22</v>
      </c>
      <c r="O22" s="9" t="s">
        <v>340</v>
      </c>
      <c r="P22" s="2" t="n">
        <f aca="false">IF(O22="",0,LEN(O22)-LEN(SUBSTITUTE(O22,";",""))+1)</f>
        <v>8</v>
      </c>
      <c r="Q22" s="2" t="n">
        <f aca="false">INDEX(Sections!$B$2:$B$4,MATCH(E22,Sections!$A$2:$A$4,0))</f>
        <v>50</v>
      </c>
      <c r="R22" s="6" t="n">
        <f aca="false">P22/Q22</f>
        <v>0.16</v>
      </c>
      <c r="S22" s="5" t="n">
        <f aca="false">ROUND(Formula!$B$2*I22*20+Formula!$B$3*R22*100+Formula!$B$4*H22*20+Formula!$B$5*MIN(N22*100/Formula!$B$7,100),2)/100</f>
        <v>0.4993</v>
      </c>
    </row>
    <row r="23" customFormat="false" ht="23.85" hidden="false" customHeight="false" outlineLevel="0" collapsed="false">
      <c r="A23" s="9" t="n">
        <v>1022</v>
      </c>
      <c r="B23" s="10" t="s">
        <v>341</v>
      </c>
      <c r="C23" s="10" t="s">
        <v>342</v>
      </c>
      <c r="D23" s="9" t="s">
        <v>258</v>
      </c>
      <c r="E23" s="9" t="s">
        <v>24</v>
      </c>
      <c r="F23" s="9" t="s">
        <v>80</v>
      </c>
      <c r="G23" s="2" t="str">
        <f aca="false">INDEX(Students!$B$2:$B$101,MATCH(F23,Students!$A$2:$A$101,0))</f>
        <v>Pallavi Kadam</v>
      </c>
      <c r="H23" s="9" t="n">
        <v>3</v>
      </c>
      <c r="I23" s="9" t="n">
        <v>3</v>
      </c>
      <c r="J23" s="9" t="s">
        <v>259</v>
      </c>
      <c r="K23" s="9" t="s">
        <v>287</v>
      </c>
      <c r="L23" s="9"/>
      <c r="M23" s="10"/>
      <c r="N23" s="9" t="n">
        <v>4</v>
      </c>
      <c r="O23" s="9" t="s">
        <v>343</v>
      </c>
      <c r="P23" s="2" t="n">
        <f aca="false">IF(O23="",0,LEN(O23)-LEN(SUBSTITUTE(O23,";",""))+1)</f>
        <v>2</v>
      </c>
      <c r="Q23" s="2" t="n">
        <f aca="false">INDEX(Sections!$B$2:$B$4,MATCH(E23,Sections!$A$2:$A$4,0))</f>
        <v>50</v>
      </c>
      <c r="R23" s="6" t="n">
        <f aca="false">P23/Q23</f>
        <v>0.04</v>
      </c>
      <c r="S23" s="5" t="n">
        <f aca="false">ROUND(Formula!$B$2*I23*20+Formula!$B$3*R23*100+Formula!$B$4*H23*20+Formula!$B$5*MIN(N23*100/Formula!$B$7,100),2)/100</f>
        <v>0.3573</v>
      </c>
    </row>
    <row r="24" customFormat="false" ht="23.85" hidden="false" customHeight="false" outlineLevel="0" collapsed="false">
      <c r="A24" s="9" t="n">
        <v>1023</v>
      </c>
      <c r="B24" s="10" t="s">
        <v>344</v>
      </c>
      <c r="C24" s="10" t="s">
        <v>345</v>
      </c>
      <c r="D24" s="9" t="s">
        <v>258</v>
      </c>
      <c r="E24" s="9" t="s">
        <v>24</v>
      </c>
      <c r="F24" s="9" t="s">
        <v>82</v>
      </c>
      <c r="G24" s="2" t="str">
        <f aca="false">INDEX(Students!$B$2:$B$101,MATCH(F24,Students!$A$2:$A$101,0))</f>
        <v>Jayesh Nair</v>
      </c>
      <c r="H24" s="9" t="n">
        <v>3</v>
      </c>
      <c r="I24" s="9" t="n">
        <v>2</v>
      </c>
      <c r="J24" s="9" t="s">
        <v>259</v>
      </c>
      <c r="K24" s="9" t="s">
        <v>270</v>
      </c>
      <c r="L24" s="9" t="s">
        <v>260</v>
      </c>
      <c r="M24" s="10" t="s">
        <v>271</v>
      </c>
      <c r="N24" s="9" t="n">
        <v>16</v>
      </c>
      <c r="O24" s="9" t="s">
        <v>346</v>
      </c>
      <c r="P24" s="2" t="n">
        <f aca="false">IF(O24="",0,LEN(O24)-LEN(SUBSTITUTE(O24,";",""))+1)</f>
        <v>30</v>
      </c>
      <c r="Q24" s="2" t="n">
        <f aca="false">INDEX(Sections!$B$2:$B$4,MATCH(E24,Sections!$A$2:$A$4,0))</f>
        <v>50</v>
      </c>
      <c r="R24" s="6" t="n">
        <f aca="false">P24/Q24</f>
        <v>0.6</v>
      </c>
      <c r="S24" s="5" t="n">
        <f aca="false">ROUND(Formula!$B$2*I24*20+Formula!$B$3*R24*100+Formula!$B$4*H24*20+Formula!$B$5*MIN(N24*100/Formula!$B$7,100),2)/100</f>
        <v>0.5233</v>
      </c>
    </row>
    <row r="25" customFormat="false" ht="23.85" hidden="false" customHeight="false" outlineLevel="0" collapsed="false">
      <c r="A25" s="9" t="n">
        <v>1024</v>
      </c>
      <c r="B25" s="10" t="s">
        <v>347</v>
      </c>
      <c r="C25" s="10" t="s">
        <v>348</v>
      </c>
      <c r="D25" s="9" t="s">
        <v>258</v>
      </c>
      <c r="E25" s="9" t="s">
        <v>24</v>
      </c>
      <c r="F25" s="9" t="s">
        <v>84</v>
      </c>
      <c r="G25" s="2" t="str">
        <f aca="false">INDEX(Students!$B$2:$B$101,MATCH(F25,Students!$A$2:$A$101,0))</f>
        <v>Prachi Gaikwad</v>
      </c>
      <c r="H25" s="9" t="n">
        <v>4</v>
      </c>
      <c r="I25" s="9" t="n">
        <v>3</v>
      </c>
      <c r="J25" s="9" t="s">
        <v>259</v>
      </c>
      <c r="K25" s="9" t="s">
        <v>275</v>
      </c>
      <c r="L25" s="9" t="s">
        <v>260</v>
      </c>
      <c r="M25" s="10" t="s">
        <v>276</v>
      </c>
      <c r="N25" s="9" t="n">
        <v>21</v>
      </c>
      <c r="O25" s="9" t="s">
        <v>349</v>
      </c>
      <c r="P25" s="2" t="n">
        <f aca="false">IF(O25="",0,LEN(O25)-LEN(SUBSTITUTE(O25,";",""))+1)</f>
        <v>13</v>
      </c>
      <c r="Q25" s="2" t="n">
        <f aca="false">INDEX(Sections!$B$2:$B$4,MATCH(E25,Sections!$A$2:$A$4,0))</f>
        <v>50</v>
      </c>
      <c r="R25" s="6" t="n">
        <f aca="false">P25/Q25</f>
        <v>0.26</v>
      </c>
      <c r="S25" s="5" t="n">
        <f aca="false">ROUND(Formula!$B$2*I25*20+Formula!$B$3*R25*100+Formula!$B$4*H25*20+Formula!$B$5*MIN(N25*100/Formula!$B$7,100),2)/100</f>
        <v>0.531</v>
      </c>
    </row>
    <row r="26" customFormat="false" ht="15" hidden="false" customHeight="false" outlineLevel="0" collapsed="false">
      <c r="A26" s="9" t="n">
        <v>1025</v>
      </c>
      <c r="B26" s="10" t="s">
        <v>350</v>
      </c>
      <c r="C26" s="10" t="s">
        <v>351</v>
      </c>
      <c r="D26" s="9" t="s">
        <v>258</v>
      </c>
      <c r="E26" s="9" t="s">
        <v>24</v>
      </c>
      <c r="F26" s="9" t="s">
        <v>86</v>
      </c>
      <c r="G26" s="2" t="str">
        <f aca="false">INDEX(Students!$B$2:$B$101,MATCH(F26,Students!$A$2:$A$101,0))</f>
        <v>Sayali Reddy</v>
      </c>
      <c r="H26" s="9" t="n">
        <v>3</v>
      </c>
      <c r="I26" s="9" t="n">
        <v>3</v>
      </c>
      <c r="J26" s="9" t="s">
        <v>259</v>
      </c>
      <c r="K26" s="9" t="s">
        <v>275</v>
      </c>
      <c r="L26" s="9" t="s">
        <v>260</v>
      </c>
      <c r="M26" s="10" t="s">
        <v>276</v>
      </c>
      <c r="N26" s="9" t="n">
        <v>9</v>
      </c>
      <c r="O26" s="9" t="s">
        <v>352</v>
      </c>
      <c r="P26" s="2" t="n">
        <f aca="false">IF(O26="",0,LEN(O26)-LEN(SUBSTITUTE(O26,";",""))+1)</f>
        <v>7</v>
      </c>
      <c r="Q26" s="2" t="n">
        <f aca="false">INDEX(Sections!$B$2:$B$4,MATCH(E26,Sections!$A$2:$A$4,0))</f>
        <v>50</v>
      </c>
      <c r="R26" s="6" t="n">
        <f aca="false">P26/Q26</f>
        <v>0.14</v>
      </c>
      <c r="S26" s="5" t="n">
        <f aca="false">ROUND(Formula!$B$2*I26*20+Formula!$B$3*R26*100+Formula!$B$4*H26*20+Formula!$B$5*MIN(N26*100/Formula!$B$7,100),2)/100</f>
        <v>0.409</v>
      </c>
    </row>
    <row r="27" customFormat="false" ht="23.85" hidden="false" customHeight="false" outlineLevel="0" collapsed="false">
      <c r="A27" s="9" t="n">
        <v>1026</v>
      </c>
      <c r="B27" s="10" t="s">
        <v>353</v>
      </c>
      <c r="C27" s="10" t="s">
        <v>354</v>
      </c>
      <c r="D27" s="9" t="s">
        <v>258</v>
      </c>
      <c r="E27" s="9" t="s">
        <v>24</v>
      </c>
      <c r="F27" s="9" t="s">
        <v>88</v>
      </c>
      <c r="G27" s="2" t="str">
        <f aca="false">INDEX(Students!$B$2:$B$101,MATCH(F27,Students!$A$2:$A$101,0))</f>
        <v>Aditya Dalvi</v>
      </c>
      <c r="H27" s="9" t="n">
        <v>3</v>
      </c>
      <c r="I27" s="9" t="n">
        <v>2</v>
      </c>
      <c r="J27" s="9" t="s">
        <v>259</v>
      </c>
      <c r="K27" s="9" t="s">
        <v>294</v>
      </c>
      <c r="L27" s="9"/>
      <c r="M27" s="10" t="s">
        <v>295</v>
      </c>
      <c r="N27" s="9" t="n">
        <v>2</v>
      </c>
      <c r="O27" s="9" t="s">
        <v>355</v>
      </c>
      <c r="P27" s="2" t="n">
        <f aca="false">IF(O27="",0,LEN(O27)-LEN(SUBSTITUTE(O27,";",""))+1)</f>
        <v>13</v>
      </c>
      <c r="Q27" s="2" t="n">
        <f aca="false">INDEX(Sections!$B$2:$B$4,MATCH(E27,Sections!$A$2:$A$4,0))</f>
        <v>50</v>
      </c>
      <c r="R27" s="6" t="n">
        <f aca="false">P27/Q27</f>
        <v>0.26</v>
      </c>
      <c r="S27" s="5" t="n">
        <f aca="false">ROUND(Formula!$B$2*I27*20+Formula!$B$3*R27*100+Formula!$B$4*H27*20+Formula!$B$5*MIN(N27*100/Formula!$B$7,100),2)/100</f>
        <v>0.3577</v>
      </c>
    </row>
    <row r="28" customFormat="false" ht="23.85" hidden="false" customHeight="false" outlineLevel="0" collapsed="false">
      <c r="A28" s="9" t="n">
        <v>1027</v>
      </c>
      <c r="B28" s="10" t="s">
        <v>356</v>
      </c>
      <c r="C28" s="10" t="s">
        <v>357</v>
      </c>
      <c r="D28" s="9" t="s">
        <v>265</v>
      </c>
      <c r="E28" s="9" t="s">
        <v>24</v>
      </c>
      <c r="F28" s="9" t="s">
        <v>90</v>
      </c>
      <c r="G28" s="2" t="str">
        <f aca="false">INDEX(Students!$B$2:$B$101,MATCH(F28,Students!$A$2:$A$101,0))</f>
        <v>Shruti Agarwal</v>
      </c>
      <c r="H28" s="9" t="n">
        <v>3</v>
      </c>
      <c r="I28" s="9" t="n">
        <v>3</v>
      </c>
      <c r="J28" s="9" t="s">
        <v>259</v>
      </c>
      <c r="K28" s="9" t="s">
        <v>287</v>
      </c>
      <c r="L28" s="9"/>
      <c r="M28" s="10"/>
      <c r="N28" s="9" t="n">
        <v>1</v>
      </c>
      <c r="O28" s="9" t="s">
        <v>358</v>
      </c>
      <c r="P28" s="2" t="n">
        <f aca="false">IF(O28="",0,LEN(O28)-LEN(SUBSTITUTE(O28,";",""))+1)</f>
        <v>36</v>
      </c>
      <c r="Q28" s="2" t="n">
        <f aca="false">INDEX(Sections!$B$2:$B$4,MATCH(E28,Sections!$A$2:$A$4,0))</f>
        <v>50</v>
      </c>
      <c r="R28" s="6" t="n">
        <f aca="false">P28/Q28</f>
        <v>0.72</v>
      </c>
      <c r="S28" s="5" t="n">
        <f aca="false">ROUND(Formula!$B$2*I28*20+Formula!$B$3*R28*100+Formula!$B$4*H28*20+Formula!$B$5*MIN(N28*100/Formula!$B$7,100),2)/100</f>
        <v>0.5853</v>
      </c>
    </row>
    <row r="29" customFormat="false" ht="23.85" hidden="false" customHeight="false" outlineLevel="0" collapsed="false">
      <c r="A29" s="9" t="n">
        <v>1028</v>
      </c>
      <c r="B29" s="10" t="s">
        <v>359</v>
      </c>
      <c r="C29" s="10" t="s">
        <v>360</v>
      </c>
      <c r="D29" s="9" t="s">
        <v>286</v>
      </c>
      <c r="E29" s="9" t="s">
        <v>24</v>
      </c>
      <c r="F29" s="9" t="s">
        <v>92</v>
      </c>
      <c r="G29" s="2" t="str">
        <f aca="false">INDEX(Students!$B$2:$B$101,MATCH(F29,Students!$A$2:$A$101,0))</f>
        <v>Janhavi Mhatre</v>
      </c>
      <c r="H29" s="9" t="n">
        <v>3</v>
      </c>
      <c r="I29" s="9" t="n">
        <v>2</v>
      </c>
      <c r="J29" s="9" t="s">
        <v>259</v>
      </c>
      <c r="K29" s="9" t="s">
        <v>361</v>
      </c>
      <c r="L29" s="9"/>
      <c r="M29" s="10" t="s">
        <v>362</v>
      </c>
      <c r="N29" s="9" t="n">
        <v>19</v>
      </c>
      <c r="O29" s="9" t="s">
        <v>363</v>
      </c>
      <c r="P29" s="2" t="n">
        <f aca="false">IF(O29="",0,LEN(O29)-LEN(SUBSTITUTE(O29,";",""))+1)</f>
        <v>4</v>
      </c>
      <c r="Q29" s="2" t="n">
        <f aca="false">INDEX(Sections!$B$2:$B$4,MATCH(E29,Sections!$A$2:$A$4,0))</f>
        <v>50</v>
      </c>
      <c r="R29" s="6" t="n">
        <f aca="false">P29/Q29</f>
        <v>0.08</v>
      </c>
      <c r="S29" s="5" t="n">
        <f aca="false">ROUND(Formula!$B$2*I29*20+Formula!$B$3*R29*100+Formula!$B$4*H29*20+Formula!$B$5*MIN(N29*100/Formula!$B$7,100),2)/100</f>
        <v>0.3513</v>
      </c>
    </row>
    <row r="30" customFormat="false" ht="23.85" hidden="false" customHeight="false" outlineLevel="0" collapsed="false">
      <c r="A30" s="9" t="n">
        <v>1029</v>
      </c>
      <c r="B30" s="10" t="s">
        <v>364</v>
      </c>
      <c r="C30" s="10" t="s">
        <v>365</v>
      </c>
      <c r="D30" s="9" t="s">
        <v>258</v>
      </c>
      <c r="E30" s="9" t="s">
        <v>24</v>
      </c>
      <c r="F30" s="9" t="s">
        <v>94</v>
      </c>
      <c r="G30" s="2" t="str">
        <f aca="false">INDEX(Students!$B$2:$B$101,MATCH(F30,Students!$A$2:$A$101,0))</f>
        <v>Akash Salvi</v>
      </c>
      <c r="H30" s="9" t="n">
        <v>3</v>
      </c>
      <c r="I30" s="9" t="n">
        <v>2</v>
      </c>
      <c r="J30" s="9" t="s">
        <v>259</v>
      </c>
      <c r="K30" s="9" t="s">
        <v>20</v>
      </c>
      <c r="L30" s="9" t="s">
        <v>260</v>
      </c>
      <c r="M30" s="10" t="s">
        <v>261</v>
      </c>
      <c r="N30" s="9" t="n">
        <v>14</v>
      </c>
      <c r="O30" s="9" t="s">
        <v>366</v>
      </c>
      <c r="P30" s="2" t="n">
        <f aca="false">IF(O30="",0,LEN(O30)-LEN(SUBSTITUTE(O30,";",""))+1)</f>
        <v>36</v>
      </c>
      <c r="Q30" s="2" t="n">
        <f aca="false">INDEX(Sections!$B$2:$B$4,MATCH(E30,Sections!$A$2:$A$4,0))</f>
        <v>50</v>
      </c>
      <c r="R30" s="6" t="n">
        <f aca="false">P30/Q30</f>
        <v>0.72</v>
      </c>
      <c r="S30" s="5" t="n">
        <f aca="false">ROUND(Formula!$B$2*I30*20+Formula!$B$3*R30*100+Formula!$B$4*H30*20+Formula!$B$5*MIN(N30*100/Formula!$B$7,100),2)/100</f>
        <v>0.5587</v>
      </c>
    </row>
    <row r="31" customFormat="false" ht="23.85" hidden="false" customHeight="false" outlineLevel="0" collapsed="false">
      <c r="A31" s="9" t="n">
        <v>1030</v>
      </c>
      <c r="B31" s="10" t="s">
        <v>367</v>
      </c>
      <c r="C31" s="10" t="s">
        <v>368</v>
      </c>
      <c r="D31" s="9" t="s">
        <v>265</v>
      </c>
      <c r="E31" s="9" t="s">
        <v>24</v>
      </c>
      <c r="F31" s="9" t="s">
        <v>96</v>
      </c>
      <c r="G31" s="2" t="str">
        <f aca="false">INDEX(Students!$B$2:$B$101,MATCH(F31,Students!$A$2:$A$101,0))</f>
        <v>Nikita Raut</v>
      </c>
      <c r="H31" s="9" t="n">
        <v>3</v>
      </c>
      <c r="I31" s="9" t="n">
        <v>2</v>
      </c>
      <c r="J31" s="9" t="s">
        <v>259</v>
      </c>
      <c r="K31" s="9" t="s">
        <v>294</v>
      </c>
      <c r="L31" s="9"/>
      <c r="M31" s="10" t="s">
        <v>295</v>
      </c>
      <c r="N31" s="9" t="n">
        <v>4</v>
      </c>
      <c r="O31" s="9" t="s">
        <v>369</v>
      </c>
      <c r="P31" s="2" t="n">
        <f aca="false">IF(O31="",0,LEN(O31)-LEN(SUBSTITUTE(O31,";",""))+1)</f>
        <v>11</v>
      </c>
      <c r="Q31" s="2" t="n">
        <f aca="false">INDEX(Sections!$B$2:$B$4,MATCH(E31,Sections!$A$2:$A$4,0))</f>
        <v>50</v>
      </c>
      <c r="R31" s="6" t="n">
        <f aca="false">P31/Q31</f>
        <v>0.22</v>
      </c>
      <c r="S31" s="5" t="n">
        <f aca="false">ROUND(Formula!$B$2*I31*20+Formula!$B$3*R31*100+Formula!$B$4*H31*20+Formula!$B$5*MIN(N31*100/Formula!$B$7,100),2)/100</f>
        <v>0.3503</v>
      </c>
    </row>
    <row r="32" customFormat="false" ht="15" hidden="false" customHeight="false" outlineLevel="0" collapsed="false">
      <c r="A32" s="9" t="n">
        <v>1031</v>
      </c>
      <c r="B32" s="10" t="s">
        <v>370</v>
      </c>
      <c r="C32" s="10" t="s">
        <v>371</v>
      </c>
      <c r="D32" s="9" t="s">
        <v>334</v>
      </c>
      <c r="E32" s="9" t="s">
        <v>24</v>
      </c>
      <c r="F32" s="9" t="s">
        <v>98</v>
      </c>
      <c r="G32" s="2" t="str">
        <f aca="false">INDEX(Students!$B$2:$B$101,MATCH(F32,Students!$A$2:$A$101,0))</f>
        <v>Gauri Shinde</v>
      </c>
      <c r="H32" s="9" t="n">
        <v>4</v>
      </c>
      <c r="I32" s="9" t="n">
        <v>3</v>
      </c>
      <c r="J32" s="9" t="s">
        <v>259</v>
      </c>
      <c r="K32" s="9" t="s">
        <v>338</v>
      </c>
      <c r="L32" s="9" t="s">
        <v>372</v>
      </c>
      <c r="M32" s="10" t="s">
        <v>339</v>
      </c>
      <c r="N32" s="9" t="n">
        <v>18</v>
      </c>
      <c r="O32" s="9" t="s">
        <v>373</v>
      </c>
      <c r="P32" s="2" t="n">
        <f aca="false">IF(O32="",0,LEN(O32)-LEN(SUBSTITUTE(O32,";",""))+1)</f>
        <v>27</v>
      </c>
      <c r="Q32" s="2" t="n">
        <f aca="false">INDEX(Sections!$B$2:$B$4,MATCH(E32,Sections!$A$2:$A$4,0))</f>
        <v>50</v>
      </c>
      <c r="R32" s="6" t="n">
        <f aca="false">P32/Q32</f>
        <v>0.54</v>
      </c>
      <c r="S32" s="5" t="n">
        <f aca="false">ROUND(Formula!$B$2*I32*20+Formula!$B$3*R32*100+Formula!$B$4*H32*20+Formula!$B$5*MIN(N32*100/Formula!$B$7,100),2)/100</f>
        <v>0.619</v>
      </c>
    </row>
    <row r="33" customFormat="false" ht="23.85" hidden="false" customHeight="false" outlineLevel="0" collapsed="false">
      <c r="A33" s="9" t="n">
        <v>1032</v>
      </c>
      <c r="B33" s="10" t="s">
        <v>374</v>
      </c>
      <c r="C33" s="10" t="s">
        <v>375</v>
      </c>
      <c r="D33" s="9" t="s">
        <v>265</v>
      </c>
      <c r="E33" s="9" t="s">
        <v>24</v>
      </c>
      <c r="F33" s="9" t="s">
        <v>100</v>
      </c>
      <c r="G33" s="2" t="str">
        <f aca="false">INDEX(Students!$B$2:$B$101,MATCH(F33,Students!$A$2:$A$101,0))</f>
        <v>Payal Menon</v>
      </c>
      <c r="H33" s="9" t="n">
        <v>3</v>
      </c>
      <c r="I33" s="9" t="n">
        <v>3</v>
      </c>
      <c r="J33" s="9" t="s">
        <v>259</v>
      </c>
      <c r="K33" s="9" t="s">
        <v>287</v>
      </c>
      <c r="L33" s="9"/>
      <c r="M33" s="10"/>
      <c r="N33" s="9" t="n">
        <v>2</v>
      </c>
      <c r="O33" s="9" t="s">
        <v>376</v>
      </c>
      <c r="P33" s="2" t="n">
        <f aca="false">IF(O33="",0,LEN(O33)-LEN(SUBSTITUTE(O33,";",""))+1)</f>
        <v>23</v>
      </c>
      <c r="Q33" s="2" t="n">
        <f aca="false">INDEX(Sections!$B$2:$B$4,MATCH(E33,Sections!$A$2:$A$4,0))</f>
        <v>50</v>
      </c>
      <c r="R33" s="6" t="n">
        <f aca="false">P33/Q33</f>
        <v>0.46</v>
      </c>
      <c r="S33" s="5" t="n">
        <f aca="false">ROUND(Formula!$B$2*I33*20+Formula!$B$3*R33*100+Formula!$B$4*H33*20+Formula!$B$5*MIN(N33*100/Formula!$B$7,100),2)/100</f>
        <v>0.4977</v>
      </c>
    </row>
    <row r="34" customFormat="false" ht="15" hidden="false" customHeight="false" outlineLevel="0" collapsed="false">
      <c r="A34" s="9" t="n">
        <v>1033</v>
      </c>
      <c r="B34" s="10" t="s">
        <v>377</v>
      </c>
      <c r="C34" s="10" t="s">
        <v>378</v>
      </c>
      <c r="D34" s="9" t="s">
        <v>286</v>
      </c>
      <c r="E34" s="9" t="s">
        <v>24</v>
      </c>
      <c r="F34" s="9" t="s">
        <v>102</v>
      </c>
      <c r="G34" s="2" t="str">
        <f aca="false">INDEX(Students!$B$2:$B$101,MATCH(F34,Students!$A$2:$A$101,0))</f>
        <v>Swati Rao</v>
      </c>
      <c r="H34" s="9" t="n">
        <v>3</v>
      </c>
      <c r="I34" s="9" t="n">
        <v>3</v>
      </c>
      <c r="J34" s="9" t="s">
        <v>259</v>
      </c>
      <c r="K34" s="9" t="s">
        <v>379</v>
      </c>
      <c r="L34" s="9" t="s">
        <v>303</v>
      </c>
      <c r="M34" s="10" t="s">
        <v>380</v>
      </c>
      <c r="N34" s="9" t="n">
        <v>7</v>
      </c>
      <c r="O34" s="9" t="s">
        <v>381</v>
      </c>
      <c r="P34" s="2" t="n">
        <f aca="false">IF(O34="",0,LEN(O34)-LEN(SUBSTITUTE(O34,";",""))+1)</f>
        <v>2</v>
      </c>
      <c r="Q34" s="2" t="n">
        <f aca="false">INDEX(Sections!$B$2:$B$4,MATCH(E34,Sections!$A$2:$A$4,0))</f>
        <v>50</v>
      </c>
      <c r="R34" s="6" t="n">
        <f aca="false">P34/Q34</f>
        <v>0.04</v>
      </c>
      <c r="S34" s="5" t="n">
        <f aca="false">ROUND(Formula!$B$2*I34*20+Formula!$B$3*R34*100+Formula!$B$4*H34*20+Formula!$B$5*MIN(N34*100/Formula!$B$7,100),2)/100</f>
        <v>0.3673</v>
      </c>
    </row>
    <row r="35" customFormat="false" ht="23.85" hidden="false" customHeight="false" outlineLevel="0" collapsed="false">
      <c r="A35" s="9" t="n">
        <v>1034</v>
      </c>
      <c r="B35" s="10" t="s">
        <v>382</v>
      </c>
      <c r="C35" s="10" t="s">
        <v>383</v>
      </c>
      <c r="D35" s="9" t="s">
        <v>286</v>
      </c>
      <c r="E35" s="9" t="s">
        <v>24</v>
      </c>
      <c r="F35" s="9" t="s">
        <v>104</v>
      </c>
      <c r="G35" s="2" t="str">
        <f aca="false">INDEX(Students!$B$2:$B$101,MATCH(F35,Students!$A$2:$A$101,0))</f>
        <v>Tanvi Bhat</v>
      </c>
      <c r="H35" s="9" t="n">
        <v>3</v>
      </c>
      <c r="I35" s="9" t="n">
        <v>3</v>
      </c>
      <c r="J35" s="9" t="s">
        <v>259</v>
      </c>
      <c r="K35" s="9" t="s">
        <v>287</v>
      </c>
      <c r="L35" s="9"/>
      <c r="M35" s="10"/>
      <c r="N35" s="9" t="n">
        <v>3</v>
      </c>
      <c r="O35" s="9" t="s">
        <v>384</v>
      </c>
      <c r="P35" s="2" t="n">
        <f aca="false">IF(O35="",0,LEN(O35)-LEN(SUBSTITUTE(O35,";",""))+1)</f>
        <v>5</v>
      </c>
      <c r="Q35" s="2" t="n">
        <f aca="false">INDEX(Sections!$B$2:$B$4,MATCH(E35,Sections!$A$2:$A$4,0))</f>
        <v>50</v>
      </c>
      <c r="R35" s="6" t="n">
        <f aca="false">P35/Q35</f>
        <v>0.1</v>
      </c>
      <c r="S35" s="5" t="n">
        <f aca="false">ROUND(Formula!$B$2*I35*20+Formula!$B$3*R35*100+Formula!$B$4*H35*20+Formula!$B$5*MIN(N35*100/Formula!$B$7,100),2)/100</f>
        <v>0.375</v>
      </c>
    </row>
    <row r="36" customFormat="false" ht="23.85" hidden="false" customHeight="false" outlineLevel="0" collapsed="false">
      <c r="A36" s="9" t="n">
        <v>1035</v>
      </c>
      <c r="B36" s="10" t="s">
        <v>385</v>
      </c>
      <c r="C36" s="10" t="s">
        <v>386</v>
      </c>
      <c r="D36" s="9" t="s">
        <v>265</v>
      </c>
      <c r="E36" s="9" t="s">
        <v>24</v>
      </c>
      <c r="F36" s="9" t="s">
        <v>106</v>
      </c>
      <c r="G36" s="2" t="str">
        <f aca="false">INDEX(Students!$B$2:$B$101,MATCH(F36,Students!$A$2:$A$101,0))</f>
        <v>Neel Sawant</v>
      </c>
      <c r="H36" s="9" t="n">
        <v>4</v>
      </c>
      <c r="I36" s="9" t="n">
        <v>3</v>
      </c>
      <c r="J36" s="9" t="s">
        <v>259</v>
      </c>
      <c r="K36" s="9" t="s">
        <v>294</v>
      </c>
      <c r="L36" s="9"/>
      <c r="M36" s="10" t="s">
        <v>295</v>
      </c>
      <c r="N36" s="9" t="n">
        <v>7</v>
      </c>
      <c r="O36" s="9" t="s">
        <v>387</v>
      </c>
      <c r="P36" s="2" t="n">
        <f aca="false">IF(O36="",0,LEN(O36)-LEN(SUBSTITUTE(O36,";",""))+1)</f>
        <v>4</v>
      </c>
      <c r="Q36" s="2" t="n">
        <f aca="false">INDEX(Sections!$B$2:$B$4,MATCH(E36,Sections!$A$2:$A$4,0))</f>
        <v>50</v>
      </c>
      <c r="R36" s="6" t="n">
        <f aca="false">P36/Q36</f>
        <v>0.08</v>
      </c>
      <c r="S36" s="5" t="n">
        <f aca="false">ROUND(Formula!$B$2*I36*20+Formula!$B$3*R36*100+Formula!$B$4*H36*20+Formula!$B$5*MIN(N36*100/Formula!$B$7,100),2)/100</f>
        <v>0.4213</v>
      </c>
    </row>
    <row r="37" customFormat="false" ht="23.85" hidden="false" customHeight="false" outlineLevel="0" collapsed="false">
      <c r="A37" s="9" t="n">
        <v>1036</v>
      </c>
      <c r="B37" s="10" t="s">
        <v>388</v>
      </c>
      <c r="C37" s="10" t="s">
        <v>389</v>
      </c>
      <c r="D37" s="9" t="s">
        <v>258</v>
      </c>
      <c r="E37" s="9" t="s">
        <v>24</v>
      </c>
      <c r="F37" s="9" t="s">
        <v>108</v>
      </c>
      <c r="G37" s="2" t="str">
        <f aca="false">INDEX(Students!$B$2:$B$101,MATCH(F37,Students!$A$2:$A$101,0))</f>
        <v>Rashmi Mishra</v>
      </c>
      <c r="H37" s="9" t="n">
        <v>4</v>
      </c>
      <c r="I37" s="9" t="n">
        <v>3</v>
      </c>
      <c r="J37" s="9" t="s">
        <v>259</v>
      </c>
      <c r="K37" s="9" t="s">
        <v>270</v>
      </c>
      <c r="L37" s="9" t="s">
        <v>260</v>
      </c>
      <c r="M37" s="10" t="s">
        <v>271</v>
      </c>
      <c r="N37" s="9" t="n">
        <v>10</v>
      </c>
      <c r="O37" s="9" t="s">
        <v>390</v>
      </c>
      <c r="P37" s="2" t="n">
        <f aca="false">IF(O37="",0,LEN(O37)-LEN(SUBSTITUTE(O37,";",""))+1)</f>
        <v>4</v>
      </c>
      <c r="Q37" s="2" t="n">
        <f aca="false">INDEX(Sections!$B$2:$B$4,MATCH(E37,Sections!$A$2:$A$4,0))</f>
        <v>50</v>
      </c>
      <c r="R37" s="6" t="n">
        <f aca="false">P37/Q37</f>
        <v>0.08</v>
      </c>
      <c r="S37" s="5" t="n">
        <f aca="false">ROUND(Formula!$B$2*I37*20+Formula!$B$3*R37*100+Formula!$B$4*H37*20+Formula!$B$5*MIN(N37*100/Formula!$B$7,100),2)/100</f>
        <v>0.4313</v>
      </c>
    </row>
    <row r="38" customFormat="false" ht="23.85" hidden="false" customHeight="false" outlineLevel="0" collapsed="false">
      <c r="A38" s="9" t="n">
        <v>1037</v>
      </c>
      <c r="B38" s="10" t="s">
        <v>391</v>
      </c>
      <c r="C38" s="10" t="s">
        <v>392</v>
      </c>
      <c r="D38" s="9" t="s">
        <v>334</v>
      </c>
      <c r="E38" s="9" t="s">
        <v>24</v>
      </c>
      <c r="F38" s="9" t="s">
        <v>110</v>
      </c>
      <c r="G38" s="2" t="str">
        <f aca="false">INDEX(Students!$B$2:$B$101,MATCH(F38,Students!$A$2:$A$101,0))</f>
        <v>Trupti Bhat</v>
      </c>
      <c r="H38" s="9" t="n">
        <v>2</v>
      </c>
      <c r="I38" s="9" t="n">
        <v>2</v>
      </c>
      <c r="J38" s="9" t="s">
        <v>259</v>
      </c>
      <c r="K38" s="9" t="s">
        <v>270</v>
      </c>
      <c r="L38" s="9" t="s">
        <v>372</v>
      </c>
      <c r="M38" s="10" t="s">
        <v>271</v>
      </c>
      <c r="N38" s="9" t="n">
        <v>10</v>
      </c>
      <c r="O38" s="9" t="s">
        <v>393</v>
      </c>
      <c r="P38" s="2" t="n">
        <f aca="false">IF(O38="",0,LEN(O38)-LEN(SUBSTITUTE(O38,";",""))+1)</f>
        <v>9</v>
      </c>
      <c r="Q38" s="2" t="n">
        <f aca="false">INDEX(Sections!$B$2:$B$4,MATCH(E38,Sections!$A$2:$A$4,0))</f>
        <v>50</v>
      </c>
      <c r="R38" s="6" t="n">
        <f aca="false">P38/Q38</f>
        <v>0.18</v>
      </c>
      <c r="S38" s="5" t="n">
        <f aca="false">ROUND(Formula!$B$2*I38*20+Formula!$B$3*R38*100+Formula!$B$4*H38*20+Formula!$B$5*MIN(N38*100/Formula!$B$7,100),2)/100</f>
        <v>0.3163</v>
      </c>
    </row>
    <row r="39" customFormat="false" ht="23.85" hidden="false" customHeight="false" outlineLevel="0" collapsed="false">
      <c r="A39" s="9" t="n">
        <v>1038</v>
      </c>
      <c r="B39" s="10" t="s">
        <v>394</v>
      </c>
      <c r="C39" s="10" t="s">
        <v>285</v>
      </c>
      <c r="D39" s="9" t="s">
        <v>286</v>
      </c>
      <c r="E39" s="9" t="s">
        <v>24</v>
      </c>
      <c r="F39" s="9" t="s">
        <v>112</v>
      </c>
      <c r="G39" s="2" t="str">
        <f aca="false">INDEX(Students!$B$2:$B$101,MATCH(F39,Students!$A$2:$A$101,0))</f>
        <v>Aditya Wagh</v>
      </c>
      <c r="H39" s="9" t="n">
        <v>5</v>
      </c>
      <c r="I39" s="9" t="n">
        <v>4</v>
      </c>
      <c r="J39" s="9" t="s">
        <v>259</v>
      </c>
      <c r="K39" s="9" t="s">
        <v>270</v>
      </c>
      <c r="L39" s="9" t="s">
        <v>303</v>
      </c>
      <c r="M39" s="10" t="s">
        <v>271</v>
      </c>
      <c r="N39" s="9" t="n">
        <v>10</v>
      </c>
      <c r="O39" s="9" t="s">
        <v>395</v>
      </c>
      <c r="P39" s="2" t="n">
        <f aca="false">IF(O39="",0,LEN(O39)-LEN(SUBSTITUTE(O39,";",""))+1)</f>
        <v>11</v>
      </c>
      <c r="Q39" s="2" t="n">
        <f aca="false">INDEX(Sections!$B$2:$B$4,MATCH(E39,Sections!$A$2:$A$4,0))</f>
        <v>50</v>
      </c>
      <c r="R39" s="6" t="n">
        <f aca="false">P39/Q39</f>
        <v>0.22</v>
      </c>
      <c r="S39" s="5" t="n">
        <f aca="false">ROUND(Formula!$B$2*I39*20+Formula!$B$3*R39*100+Formula!$B$4*H39*20+Formula!$B$5*MIN(N39*100/Formula!$B$7,100),2)/100</f>
        <v>0.5903</v>
      </c>
    </row>
    <row r="40" customFormat="false" ht="15" hidden="false" customHeight="false" outlineLevel="0" collapsed="false">
      <c r="A40" s="9" t="n">
        <v>1039</v>
      </c>
      <c r="B40" s="10" t="s">
        <v>396</v>
      </c>
      <c r="C40" s="10" t="s">
        <v>397</v>
      </c>
      <c r="D40" s="9" t="s">
        <v>286</v>
      </c>
      <c r="E40" s="9" t="s">
        <v>24</v>
      </c>
      <c r="F40" s="9" t="s">
        <v>114</v>
      </c>
      <c r="G40" s="2" t="str">
        <f aca="false">INDEX(Students!$B$2:$B$101,MATCH(F40,Students!$A$2:$A$101,0))</f>
        <v>Saurabh Surve</v>
      </c>
      <c r="H40" s="9" t="n">
        <v>4</v>
      </c>
      <c r="I40" s="9" t="n">
        <v>3</v>
      </c>
      <c r="J40" s="9" t="s">
        <v>259</v>
      </c>
      <c r="K40" s="9" t="s">
        <v>361</v>
      </c>
      <c r="L40" s="9"/>
      <c r="M40" s="10" t="s">
        <v>362</v>
      </c>
      <c r="N40" s="9" t="n">
        <v>20</v>
      </c>
      <c r="O40" s="9" t="s">
        <v>398</v>
      </c>
      <c r="P40" s="2" t="n">
        <f aca="false">IF(O40="",0,LEN(O40)-LEN(SUBSTITUTE(O40,";",""))+1)</f>
        <v>3</v>
      </c>
      <c r="Q40" s="2" t="n">
        <f aca="false">INDEX(Sections!$B$2:$B$4,MATCH(E40,Sections!$A$2:$A$4,0))</f>
        <v>50</v>
      </c>
      <c r="R40" s="6" t="n">
        <f aca="false">P40/Q40</f>
        <v>0.06</v>
      </c>
      <c r="S40" s="5" t="n">
        <f aca="false">ROUND(Formula!$B$2*I40*20+Formula!$B$3*R40*100+Formula!$B$4*H40*20+Formula!$B$5*MIN(N40*100/Formula!$B$7,100),2)/100</f>
        <v>0.4577</v>
      </c>
    </row>
    <row r="41" customFormat="false" ht="23.85" hidden="false" customHeight="false" outlineLevel="0" collapsed="false">
      <c r="A41" s="9" t="n">
        <v>1040</v>
      </c>
      <c r="B41" s="10" t="s">
        <v>399</v>
      </c>
      <c r="C41" s="10" t="s">
        <v>400</v>
      </c>
      <c r="D41" s="9" t="s">
        <v>323</v>
      </c>
      <c r="E41" s="9" t="s">
        <v>24</v>
      </c>
      <c r="F41" s="9" t="s">
        <v>116</v>
      </c>
      <c r="G41" s="2" t="str">
        <f aca="false">INDEX(Students!$B$2:$B$101,MATCH(F41,Students!$A$2:$A$101,0))</f>
        <v>Aryan Joshi</v>
      </c>
      <c r="H41" s="9" t="n">
        <v>4</v>
      </c>
      <c r="I41" s="9" t="n">
        <v>5</v>
      </c>
      <c r="J41" s="9" t="s">
        <v>259</v>
      </c>
      <c r="K41" s="9" t="s">
        <v>338</v>
      </c>
      <c r="L41" s="9" t="s">
        <v>260</v>
      </c>
      <c r="M41" s="10" t="s">
        <v>339</v>
      </c>
      <c r="N41" s="9" t="n">
        <v>9</v>
      </c>
      <c r="O41" s="9" t="s">
        <v>401</v>
      </c>
      <c r="P41" s="2" t="n">
        <f aca="false">IF(O41="",0,LEN(O41)-LEN(SUBSTITUTE(O41,";",""))+1)</f>
        <v>8</v>
      </c>
      <c r="Q41" s="2" t="n">
        <f aca="false">INDEX(Sections!$B$2:$B$4,MATCH(E41,Sections!$A$2:$A$4,0))</f>
        <v>50</v>
      </c>
      <c r="R41" s="6" t="n">
        <f aca="false">P41/Q41</f>
        <v>0.16</v>
      </c>
      <c r="S41" s="5" t="n">
        <f aca="false">ROUND(Formula!$B$2*I41*20+Formula!$B$3*R41*100+Formula!$B$4*H41*20+Formula!$B$5*MIN(N41*100/Formula!$B$7,100),2)/100</f>
        <v>0.596</v>
      </c>
    </row>
    <row r="42" customFormat="false" ht="23.85" hidden="false" customHeight="false" outlineLevel="0" collapsed="false">
      <c r="A42" s="9" t="n">
        <v>1041</v>
      </c>
      <c r="B42" s="10" t="s">
        <v>402</v>
      </c>
      <c r="C42" s="10" t="s">
        <v>403</v>
      </c>
      <c r="D42" s="9" t="s">
        <v>286</v>
      </c>
      <c r="E42" s="9" t="s">
        <v>24</v>
      </c>
      <c r="F42" s="9" t="s">
        <v>118</v>
      </c>
      <c r="G42" s="2" t="str">
        <f aca="false">INDEX(Students!$B$2:$B$101,MATCH(F42,Students!$A$2:$A$101,0))</f>
        <v>Ketaki Tilak</v>
      </c>
      <c r="H42" s="9" t="n">
        <v>4</v>
      </c>
      <c r="I42" s="9" t="n">
        <v>3</v>
      </c>
      <c r="J42" s="9" t="s">
        <v>259</v>
      </c>
      <c r="K42" s="9" t="s">
        <v>270</v>
      </c>
      <c r="L42" s="9" t="s">
        <v>303</v>
      </c>
      <c r="M42" s="10" t="s">
        <v>271</v>
      </c>
      <c r="N42" s="9" t="n">
        <v>14</v>
      </c>
      <c r="O42" s="9" t="s">
        <v>404</v>
      </c>
      <c r="P42" s="2" t="n">
        <f aca="false">IF(O42="",0,LEN(O42)-LEN(SUBSTITUTE(O42,";",""))+1)</f>
        <v>9</v>
      </c>
      <c r="Q42" s="2" t="n">
        <f aca="false">INDEX(Sections!$B$2:$B$4,MATCH(E42,Sections!$A$2:$A$4,0))</f>
        <v>50</v>
      </c>
      <c r="R42" s="6" t="n">
        <f aca="false">P42/Q42</f>
        <v>0.18</v>
      </c>
      <c r="S42" s="5" t="n">
        <f aca="false">ROUND(Formula!$B$2*I42*20+Formula!$B$3*R42*100+Formula!$B$4*H42*20+Formula!$B$5*MIN(N42*100/Formula!$B$7,100),2)/100</f>
        <v>0.4797</v>
      </c>
    </row>
    <row r="43" customFormat="false" ht="23.85" hidden="false" customHeight="false" outlineLevel="0" collapsed="false">
      <c r="A43" s="9" t="n">
        <v>1042</v>
      </c>
      <c r="B43" s="10" t="s">
        <v>405</v>
      </c>
      <c r="C43" s="10" t="s">
        <v>406</v>
      </c>
      <c r="D43" s="9" t="s">
        <v>258</v>
      </c>
      <c r="E43" s="9" t="s">
        <v>24</v>
      </c>
      <c r="F43" s="9" t="s">
        <v>120</v>
      </c>
      <c r="G43" s="2" t="str">
        <f aca="false">INDEX(Students!$B$2:$B$101,MATCH(F43,Students!$A$2:$A$101,0))</f>
        <v>Tejas Dalvi</v>
      </c>
      <c r="H43" s="9" t="n">
        <v>3</v>
      </c>
      <c r="I43" s="9" t="n">
        <v>3</v>
      </c>
      <c r="J43" s="9" t="s">
        <v>259</v>
      </c>
      <c r="K43" s="9" t="s">
        <v>294</v>
      </c>
      <c r="L43" s="9"/>
      <c r="M43" s="10" t="s">
        <v>295</v>
      </c>
      <c r="N43" s="9" t="n">
        <v>4</v>
      </c>
      <c r="O43" s="9" t="s">
        <v>407</v>
      </c>
      <c r="P43" s="2" t="n">
        <f aca="false">IF(O43="",0,LEN(O43)-LEN(SUBSTITUTE(O43,";",""))+1)</f>
        <v>11</v>
      </c>
      <c r="Q43" s="2" t="n">
        <f aca="false">INDEX(Sections!$B$2:$B$4,MATCH(E43,Sections!$A$2:$A$4,0))</f>
        <v>50</v>
      </c>
      <c r="R43" s="6" t="n">
        <f aca="false">P43/Q43</f>
        <v>0.22</v>
      </c>
      <c r="S43" s="5" t="n">
        <f aca="false">ROUND(Formula!$B$2*I43*20+Formula!$B$3*R43*100+Formula!$B$4*H43*20+Formula!$B$5*MIN(N43*100/Formula!$B$7,100),2)/100</f>
        <v>0.4203</v>
      </c>
    </row>
    <row r="44" customFormat="false" ht="15" hidden="false" customHeight="false" outlineLevel="0" collapsed="false">
      <c r="A44" s="9" t="n">
        <v>1043</v>
      </c>
      <c r="B44" s="10" t="s">
        <v>408</v>
      </c>
      <c r="C44" s="10" t="s">
        <v>409</v>
      </c>
      <c r="D44" s="9" t="s">
        <v>323</v>
      </c>
      <c r="E44" s="9" t="s">
        <v>24</v>
      </c>
      <c r="F44" s="9" t="s">
        <v>122</v>
      </c>
      <c r="G44" s="2" t="str">
        <f aca="false">INDEX(Students!$B$2:$B$101,MATCH(F44,Students!$A$2:$A$101,0))</f>
        <v>Payal Mishra</v>
      </c>
      <c r="H44" s="9" t="n">
        <v>5</v>
      </c>
      <c r="I44" s="9" t="n">
        <v>5</v>
      </c>
      <c r="J44" s="9" t="s">
        <v>324</v>
      </c>
      <c r="K44" s="9" t="s">
        <v>275</v>
      </c>
      <c r="L44" s="9" t="s">
        <v>260</v>
      </c>
      <c r="M44" s="10" t="s">
        <v>276</v>
      </c>
      <c r="N44" s="9" t="n">
        <v>23</v>
      </c>
      <c r="O44" s="9" t="s">
        <v>410</v>
      </c>
      <c r="P44" s="2" t="n">
        <f aca="false">IF(O44="",0,LEN(O44)-LEN(SUBSTITUTE(O44,";",""))+1)</f>
        <v>3</v>
      </c>
      <c r="Q44" s="2" t="n">
        <f aca="false">INDEX(Sections!$B$2:$B$4,MATCH(E44,Sections!$A$2:$A$4,0))</f>
        <v>50</v>
      </c>
      <c r="R44" s="6" t="n">
        <f aca="false">P44/Q44</f>
        <v>0.06</v>
      </c>
      <c r="S44" s="5" t="n">
        <f aca="false">ROUND(Formula!$B$2*I44*20+Formula!$B$3*R44*100+Formula!$B$4*H44*20+Formula!$B$5*MIN(N44*100/Formula!$B$7,100),2)/100</f>
        <v>0.6477</v>
      </c>
    </row>
    <row r="45" customFormat="false" ht="15" hidden="false" customHeight="false" outlineLevel="0" collapsed="false">
      <c r="A45" s="9" t="n">
        <v>1044</v>
      </c>
      <c r="B45" s="10" t="s">
        <v>411</v>
      </c>
      <c r="C45" s="10" t="s">
        <v>412</v>
      </c>
      <c r="D45" s="9" t="s">
        <v>265</v>
      </c>
      <c r="E45" s="9" t="s">
        <v>24</v>
      </c>
      <c r="F45" s="9" t="s">
        <v>124</v>
      </c>
      <c r="G45" s="2" t="str">
        <f aca="false">INDEX(Students!$B$2:$B$101,MATCH(F45,Students!$A$2:$A$101,0))</f>
        <v>Shubham Mishra</v>
      </c>
      <c r="H45" s="9" t="n">
        <v>4</v>
      </c>
      <c r="I45" s="9" t="n">
        <v>3</v>
      </c>
      <c r="J45" s="9" t="s">
        <v>259</v>
      </c>
      <c r="K45" s="9" t="s">
        <v>287</v>
      </c>
      <c r="L45" s="9"/>
      <c r="M45" s="10"/>
      <c r="N45" s="9" t="n">
        <v>1</v>
      </c>
      <c r="O45" s="9" t="s">
        <v>413</v>
      </c>
      <c r="P45" s="2" t="n">
        <f aca="false">IF(O45="",0,LEN(O45)-LEN(SUBSTITUTE(O45,";",""))+1)</f>
        <v>13</v>
      </c>
      <c r="Q45" s="2" t="n">
        <f aca="false">INDEX(Sections!$B$2:$B$4,MATCH(E45,Sections!$A$2:$A$4,0))</f>
        <v>50</v>
      </c>
      <c r="R45" s="6" t="n">
        <f aca="false">P45/Q45</f>
        <v>0.26</v>
      </c>
      <c r="S45" s="5" t="n">
        <f aca="false">ROUND(Formula!$B$2*I45*20+Formula!$B$3*R45*100+Formula!$B$4*H45*20+Formula!$B$5*MIN(N45*100/Formula!$B$7,100),2)/100</f>
        <v>0.4643</v>
      </c>
    </row>
    <row r="46" customFormat="false" ht="15" hidden="false" customHeight="false" outlineLevel="0" collapsed="false">
      <c r="A46" s="9" t="n">
        <v>1045</v>
      </c>
      <c r="B46" s="10" t="s">
        <v>414</v>
      </c>
      <c r="C46" s="10" t="s">
        <v>415</v>
      </c>
      <c r="D46" s="9" t="s">
        <v>334</v>
      </c>
      <c r="E46" s="9" t="s">
        <v>24</v>
      </c>
      <c r="F46" s="9" t="s">
        <v>126</v>
      </c>
      <c r="G46" s="2" t="str">
        <f aca="false">INDEX(Students!$B$2:$B$101,MATCH(F46,Students!$A$2:$A$101,0))</f>
        <v>Tanmay Shinde</v>
      </c>
      <c r="H46" s="9" t="n">
        <v>2</v>
      </c>
      <c r="I46" s="9" t="n">
        <v>3</v>
      </c>
      <c r="J46" s="9" t="s">
        <v>259</v>
      </c>
      <c r="K46" s="9" t="s">
        <v>287</v>
      </c>
      <c r="L46" s="9"/>
      <c r="M46" s="10"/>
      <c r="N46" s="9" t="n">
        <v>0</v>
      </c>
      <c r="O46" s="9" t="s">
        <v>416</v>
      </c>
      <c r="P46" s="2" t="n">
        <f aca="false">IF(O46="",0,LEN(O46)-LEN(SUBSTITUTE(O46,";",""))+1)</f>
        <v>4</v>
      </c>
      <c r="Q46" s="2" t="n">
        <f aca="false">INDEX(Sections!$B$2:$B$4,MATCH(E46,Sections!$A$2:$A$4,0))</f>
        <v>50</v>
      </c>
      <c r="R46" s="6" t="n">
        <f aca="false">P46/Q46</f>
        <v>0.08</v>
      </c>
      <c r="S46" s="5" t="n">
        <f aca="false">ROUND(Formula!$B$2*I46*20+Formula!$B$3*R46*100+Formula!$B$4*H46*20+Formula!$B$5*MIN(N46*100/Formula!$B$7,100),2)/100</f>
        <v>0.318</v>
      </c>
    </row>
    <row r="47" customFormat="false" ht="23.85" hidden="false" customHeight="false" outlineLevel="0" collapsed="false">
      <c r="A47" s="9" t="n">
        <v>1046</v>
      </c>
      <c r="B47" s="10" t="s">
        <v>417</v>
      </c>
      <c r="C47" s="10" t="s">
        <v>418</v>
      </c>
      <c r="D47" s="9" t="s">
        <v>258</v>
      </c>
      <c r="E47" s="9" t="s">
        <v>24</v>
      </c>
      <c r="F47" s="9" t="s">
        <v>128</v>
      </c>
      <c r="G47" s="2" t="str">
        <f aca="false">INDEX(Students!$B$2:$B$101,MATCH(F47,Students!$A$2:$A$101,0))</f>
        <v>Prachi Rane</v>
      </c>
      <c r="H47" s="9" t="n">
        <v>4</v>
      </c>
      <c r="I47" s="9" t="n">
        <v>3</v>
      </c>
      <c r="J47" s="9" t="s">
        <v>259</v>
      </c>
      <c r="K47" s="9" t="s">
        <v>287</v>
      </c>
      <c r="L47" s="9"/>
      <c r="M47" s="10"/>
      <c r="N47" s="9" t="n">
        <v>4</v>
      </c>
      <c r="O47" s="9" t="s">
        <v>128</v>
      </c>
      <c r="P47" s="2" t="n">
        <f aca="false">IF(O47="",0,LEN(O47)-LEN(SUBSTITUTE(O47,";",""))+1)</f>
        <v>1</v>
      </c>
      <c r="Q47" s="2" t="n">
        <f aca="false">INDEX(Sections!$B$2:$B$4,MATCH(E47,Sections!$A$2:$A$4,0))</f>
        <v>50</v>
      </c>
      <c r="R47" s="6" t="n">
        <f aca="false">P47/Q47</f>
        <v>0.02</v>
      </c>
      <c r="S47" s="5" t="n">
        <f aca="false">ROUND(Formula!$B$2*I47*20+Formula!$B$3*R47*100+Formula!$B$4*H47*20+Formula!$B$5*MIN(N47*100/Formula!$B$7,100),2)/100</f>
        <v>0.3903</v>
      </c>
    </row>
    <row r="48" customFormat="false" ht="23.85" hidden="false" customHeight="false" outlineLevel="0" collapsed="false">
      <c r="A48" s="9" t="n">
        <v>1047</v>
      </c>
      <c r="B48" s="10" t="s">
        <v>419</v>
      </c>
      <c r="C48" s="10" t="s">
        <v>420</v>
      </c>
      <c r="D48" s="9" t="s">
        <v>258</v>
      </c>
      <c r="E48" s="9" t="s">
        <v>24</v>
      </c>
      <c r="F48" s="9" t="s">
        <v>130</v>
      </c>
      <c r="G48" s="2" t="str">
        <f aca="false">INDEX(Students!$B$2:$B$101,MATCH(F48,Students!$A$2:$A$101,0))</f>
        <v>Madhuri Dalvi</v>
      </c>
      <c r="H48" s="9" t="n">
        <v>4</v>
      </c>
      <c r="I48" s="9" t="n">
        <v>3</v>
      </c>
      <c r="J48" s="9" t="s">
        <v>259</v>
      </c>
      <c r="K48" s="9" t="s">
        <v>294</v>
      </c>
      <c r="L48" s="9"/>
      <c r="M48" s="10" t="s">
        <v>295</v>
      </c>
      <c r="N48" s="9" t="n">
        <v>4</v>
      </c>
      <c r="O48" s="9" t="s">
        <v>421</v>
      </c>
      <c r="P48" s="2" t="n">
        <f aca="false">IF(O48="",0,LEN(O48)-LEN(SUBSTITUTE(O48,";",""))+1)</f>
        <v>7</v>
      </c>
      <c r="Q48" s="2" t="n">
        <f aca="false">INDEX(Sections!$B$2:$B$4,MATCH(E48,Sections!$A$2:$A$4,0))</f>
        <v>50</v>
      </c>
      <c r="R48" s="6" t="n">
        <f aca="false">P48/Q48</f>
        <v>0.14</v>
      </c>
      <c r="S48" s="5" t="n">
        <f aca="false">ROUND(Formula!$B$2*I48*20+Formula!$B$3*R48*100+Formula!$B$4*H48*20+Formula!$B$5*MIN(N48*100/Formula!$B$7,100),2)/100</f>
        <v>0.4323</v>
      </c>
    </row>
    <row r="49" customFormat="false" ht="15" hidden="false" customHeight="false" outlineLevel="0" collapsed="false">
      <c r="A49" s="9" t="n">
        <v>1048</v>
      </c>
      <c r="B49" s="10" t="s">
        <v>422</v>
      </c>
      <c r="C49" s="10" t="s">
        <v>423</v>
      </c>
      <c r="D49" s="9" t="s">
        <v>258</v>
      </c>
      <c r="E49" s="9" t="s">
        <v>24</v>
      </c>
      <c r="F49" s="9" t="s">
        <v>132</v>
      </c>
      <c r="G49" s="2" t="str">
        <f aca="false">INDEX(Students!$B$2:$B$101,MATCH(F49,Students!$A$2:$A$101,0))</f>
        <v>Tanishka Shah</v>
      </c>
      <c r="H49" s="9" t="n">
        <v>3</v>
      </c>
      <c r="I49" s="9" t="n">
        <v>3</v>
      </c>
      <c r="J49" s="9" t="s">
        <v>259</v>
      </c>
      <c r="K49" s="9" t="s">
        <v>287</v>
      </c>
      <c r="L49" s="9"/>
      <c r="M49" s="10"/>
      <c r="N49" s="9" t="n">
        <v>3</v>
      </c>
      <c r="O49" s="9" t="s">
        <v>132</v>
      </c>
      <c r="P49" s="2" t="n">
        <f aca="false">IF(O49="",0,LEN(O49)-LEN(SUBSTITUTE(O49,";",""))+1)</f>
        <v>1</v>
      </c>
      <c r="Q49" s="2" t="n">
        <f aca="false">INDEX(Sections!$B$2:$B$4,MATCH(E49,Sections!$A$2:$A$4,0))</f>
        <v>50</v>
      </c>
      <c r="R49" s="6" t="n">
        <f aca="false">P49/Q49</f>
        <v>0.02</v>
      </c>
      <c r="S49" s="5" t="n">
        <f aca="false">ROUND(Formula!$B$2*I49*20+Formula!$B$3*R49*100+Formula!$B$4*H49*20+Formula!$B$5*MIN(N49*100/Formula!$B$7,100),2)/100</f>
        <v>0.347</v>
      </c>
    </row>
    <row r="50" customFormat="false" ht="15" hidden="false" customHeight="false" outlineLevel="0" collapsed="false">
      <c r="A50" s="9" t="n">
        <v>1049</v>
      </c>
      <c r="B50" s="10" t="s">
        <v>424</v>
      </c>
      <c r="C50" s="10" t="s">
        <v>425</v>
      </c>
      <c r="D50" s="9" t="s">
        <v>265</v>
      </c>
      <c r="E50" s="9" t="s">
        <v>24</v>
      </c>
      <c r="F50" s="9" t="s">
        <v>134</v>
      </c>
      <c r="G50" s="2" t="str">
        <f aca="false">INDEX(Students!$B$2:$B$101,MATCH(F50,Students!$A$2:$A$101,0))</f>
        <v>Pallavi Salvi</v>
      </c>
      <c r="H50" s="9" t="n">
        <v>4</v>
      </c>
      <c r="I50" s="9" t="n">
        <v>3</v>
      </c>
      <c r="J50" s="9" t="s">
        <v>259</v>
      </c>
      <c r="K50" s="9" t="s">
        <v>275</v>
      </c>
      <c r="L50" s="9" t="s">
        <v>266</v>
      </c>
      <c r="M50" s="10" t="s">
        <v>276</v>
      </c>
      <c r="N50" s="9" t="n">
        <v>14</v>
      </c>
      <c r="O50" s="9" t="s">
        <v>426</v>
      </c>
      <c r="P50" s="2" t="n">
        <f aca="false">IF(O50="",0,LEN(O50)-LEN(SUBSTITUTE(O50,";",""))+1)</f>
        <v>19</v>
      </c>
      <c r="Q50" s="2" t="n">
        <f aca="false">INDEX(Sections!$B$2:$B$4,MATCH(E50,Sections!$A$2:$A$4,0))</f>
        <v>50</v>
      </c>
      <c r="R50" s="6" t="n">
        <f aca="false">P50/Q50</f>
        <v>0.38</v>
      </c>
      <c r="S50" s="5" t="n">
        <f aca="false">ROUND(Formula!$B$2*I50*20+Formula!$B$3*R50*100+Formula!$B$4*H50*20+Formula!$B$5*MIN(N50*100/Formula!$B$7,100),2)/100</f>
        <v>0.5497</v>
      </c>
    </row>
    <row r="51" customFormat="false" ht="23.85" hidden="false" customHeight="false" outlineLevel="0" collapsed="false">
      <c r="A51" s="9" t="n">
        <v>1050</v>
      </c>
      <c r="B51" s="10" t="s">
        <v>427</v>
      </c>
      <c r="C51" s="10" t="s">
        <v>428</v>
      </c>
      <c r="D51" s="9" t="s">
        <v>265</v>
      </c>
      <c r="E51" s="9" t="s">
        <v>24</v>
      </c>
      <c r="F51" s="9" t="s">
        <v>136</v>
      </c>
      <c r="G51" s="2" t="str">
        <f aca="false">INDEX(Students!$B$2:$B$101,MATCH(F51,Students!$A$2:$A$101,0))</f>
        <v>Priya Raut</v>
      </c>
      <c r="H51" s="9" t="n">
        <v>5</v>
      </c>
      <c r="I51" s="9" t="n">
        <v>3</v>
      </c>
      <c r="J51" s="9" t="s">
        <v>259</v>
      </c>
      <c r="K51" s="9" t="s">
        <v>275</v>
      </c>
      <c r="L51" s="9" t="s">
        <v>266</v>
      </c>
      <c r="M51" s="10" t="s">
        <v>276</v>
      </c>
      <c r="N51" s="9" t="n">
        <v>17</v>
      </c>
      <c r="O51" s="9" t="s">
        <v>429</v>
      </c>
      <c r="P51" s="2" t="n">
        <f aca="false">IF(O51="",0,LEN(O51)-LEN(SUBSTITUTE(O51,";",""))+1)</f>
        <v>2</v>
      </c>
      <c r="Q51" s="2" t="n">
        <f aca="false">INDEX(Sections!$B$2:$B$4,MATCH(E51,Sections!$A$2:$A$4,0))</f>
        <v>50</v>
      </c>
      <c r="R51" s="6" t="n">
        <f aca="false">P51/Q51</f>
        <v>0.04</v>
      </c>
      <c r="S51" s="5" t="n">
        <f aca="false">ROUND(Formula!$B$2*I51*20+Formula!$B$3*R51*100+Formula!$B$4*H51*20+Formula!$B$5*MIN(N51*100/Formula!$B$7,100),2)/100</f>
        <v>0.4807</v>
      </c>
    </row>
    <row r="52" customFormat="false" ht="23.85" hidden="false" customHeight="false" outlineLevel="0" collapsed="false">
      <c r="A52" s="9" t="n">
        <v>1051</v>
      </c>
      <c r="B52" s="10" t="s">
        <v>417</v>
      </c>
      <c r="C52" s="10" t="s">
        <v>418</v>
      </c>
      <c r="D52" s="9" t="s">
        <v>258</v>
      </c>
      <c r="E52" s="9" t="s">
        <v>25</v>
      </c>
      <c r="F52" s="9" t="s">
        <v>138</v>
      </c>
      <c r="G52" s="2" t="str">
        <f aca="false">INDEX(Students!$B$2:$B$101,MATCH(F52,Students!$A$2:$A$101,0))</f>
        <v>Apoorva Parab</v>
      </c>
      <c r="H52" s="9" t="n">
        <v>4</v>
      </c>
      <c r="I52" s="9" t="n">
        <v>3</v>
      </c>
      <c r="J52" s="9" t="s">
        <v>259</v>
      </c>
      <c r="K52" s="9" t="s">
        <v>275</v>
      </c>
      <c r="L52" s="9" t="s">
        <v>260</v>
      </c>
      <c r="M52" s="10" t="s">
        <v>276</v>
      </c>
      <c r="N52" s="9" t="n">
        <v>9</v>
      </c>
      <c r="O52" s="9" t="s">
        <v>430</v>
      </c>
      <c r="P52" s="2" t="n">
        <f aca="false">IF(O52="",0,LEN(O52)-LEN(SUBSTITUTE(O52,";",""))+1)</f>
        <v>7</v>
      </c>
      <c r="Q52" s="2" t="n">
        <f aca="false">INDEX(Sections!$B$2:$B$4,MATCH(E52,Sections!$A$2:$A$4,0))</f>
        <v>40</v>
      </c>
      <c r="R52" s="6" t="n">
        <f aca="false">P52/Q52</f>
        <v>0.175</v>
      </c>
      <c r="S52" s="5" t="n">
        <f aca="false">ROUND(Formula!$B$2*I52*20+Formula!$B$3*R52*100+Formula!$B$4*H52*20+Formula!$B$5*MIN(N52*100/Formula!$B$7,100),2)/100</f>
        <v>0.4613</v>
      </c>
    </row>
    <row r="53" customFormat="false" ht="15" hidden="false" customHeight="false" outlineLevel="0" collapsed="false">
      <c r="A53" s="9" t="n">
        <v>1052</v>
      </c>
      <c r="B53" s="10" t="s">
        <v>377</v>
      </c>
      <c r="C53" s="10" t="s">
        <v>378</v>
      </c>
      <c r="D53" s="9" t="s">
        <v>286</v>
      </c>
      <c r="E53" s="9" t="s">
        <v>25</v>
      </c>
      <c r="F53" s="9" t="s">
        <v>140</v>
      </c>
      <c r="G53" s="2" t="str">
        <f aca="false">INDEX(Students!$B$2:$B$101,MATCH(F53,Students!$A$2:$A$101,0))</f>
        <v>Snehal Salvi</v>
      </c>
      <c r="H53" s="9" t="n">
        <v>3</v>
      </c>
      <c r="I53" s="9" t="n">
        <v>3</v>
      </c>
      <c r="J53" s="9" t="s">
        <v>259</v>
      </c>
      <c r="K53" s="9" t="s">
        <v>287</v>
      </c>
      <c r="L53" s="9"/>
      <c r="M53" s="10"/>
      <c r="N53" s="9" t="n">
        <v>2</v>
      </c>
      <c r="O53" s="9" t="s">
        <v>431</v>
      </c>
      <c r="P53" s="2" t="n">
        <f aca="false">IF(O53="",0,LEN(O53)-LEN(SUBSTITUTE(O53,";",""))+1)</f>
        <v>23</v>
      </c>
      <c r="Q53" s="2" t="n">
        <f aca="false">INDEX(Sections!$B$2:$B$4,MATCH(E53,Sections!$A$2:$A$4,0))</f>
        <v>40</v>
      </c>
      <c r="R53" s="6" t="n">
        <f aca="false">P53/Q53</f>
        <v>0.575</v>
      </c>
      <c r="S53" s="5" t="n">
        <f aca="false">ROUND(Formula!$B$2*I53*20+Formula!$B$3*R53*100+Formula!$B$4*H53*20+Formula!$B$5*MIN(N53*100/Formula!$B$7,100),2)/100</f>
        <v>0.5379</v>
      </c>
    </row>
    <row r="54" customFormat="false" ht="15" hidden="false" customHeight="false" outlineLevel="0" collapsed="false">
      <c r="A54" s="9" t="n">
        <v>1053</v>
      </c>
      <c r="B54" s="10" t="s">
        <v>432</v>
      </c>
      <c r="C54" s="10" t="s">
        <v>433</v>
      </c>
      <c r="D54" s="9" t="s">
        <v>291</v>
      </c>
      <c r="E54" s="9" t="s">
        <v>25</v>
      </c>
      <c r="F54" s="9" t="s">
        <v>142</v>
      </c>
      <c r="G54" s="2" t="str">
        <f aca="false">INDEX(Students!$B$2:$B$101,MATCH(F54,Students!$A$2:$A$101,0))</f>
        <v>Divya Bhosale</v>
      </c>
      <c r="H54" s="9" t="n">
        <v>4</v>
      </c>
      <c r="I54" s="9" t="n">
        <v>3</v>
      </c>
      <c r="J54" s="9" t="s">
        <v>259</v>
      </c>
      <c r="K54" s="9" t="s">
        <v>287</v>
      </c>
      <c r="L54" s="9"/>
      <c r="M54" s="10"/>
      <c r="N54" s="9" t="n">
        <v>0</v>
      </c>
      <c r="O54" s="9" t="s">
        <v>434</v>
      </c>
      <c r="P54" s="2" t="n">
        <f aca="false">IF(O54="",0,LEN(O54)-LEN(SUBSTITUTE(O54,";",""))+1)</f>
        <v>4</v>
      </c>
      <c r="Q54" s="2" t="n">
        <f aca="false">INDEX(Sections!$B$2:$B$4,MATCH(E54,Sections!$A$2:$A$4,0))</f>
        <v>40</v>
      </c>
      <c r="R54" s="6" t="n">
        <f aca="false">P54/Q54</f>
        <v>0.1</v>
      </c>
      <c r="S54" s="5" t="n">
        <f aca="false">ROUND(Formula!$B$2*I54*20+Formula!$B$3*R54*100+Formula!$B$4*H54*20+Formula!$B$5*MIN(N54*100/Formula!$B$7,100),2)/100</f>
        <v>0.405</v>
      </c>
    </row>
    <row r="55" customFormat="false" ht="23.85" hidden="false" customHeight="false" outlineLevel="0" collapsed="false">
      <c r="A55" s="9" t="n">
        <v>1054</v>
      </c>
      <c r="B55" s="10" t="s">
        <v>268</v>
      </c>
      <c r="C55" s="10" t="s">
        <v>269</v>
      </c>
      <c r="D55" s="9" t="s">
        <v>258</v>
      </c>
      <c r="E55" s="9" t="s">
        <v>25</v>
      </c>
      <c r="F55" s="9" t="s">
        <v>144</v>
      </c>
      <c r="G55" s="2" t="str">
        <f aca="false">INDEX(Students!$B$2:$B$101,MATCH(F55,Students!$A$2:$A$101,0))</f>
        <v>Jayesh Iyer</v>
      </c>
      <c r="H55" s="9" t="n">
        <v>3</v>
      </c>
      <c r="I55" s="9" t="n">
        <v>2</v>
      </c>
      <c r="J55" s="9" t="s">
        <v>259</v>
      </c>
      <c r="K55" s="9" t="s">
        <v>338</v>
      </c>
      <c r="L55" s="9" t="s">
        <v>260</v>
      </c>
      <c r="M55" s="10" t="s">
        <v>339</v>
      </c>
      <c r="N55" s="9" t="n">
        <v>10</v>
      </c>
      <c r="O55" s="9" t="s">
        <v>435</v>
      </c>
      <c r="P55" s="2" t="n">
        <f aca="false">IF(O55="",0,LEN(O55)-LEN(SUBSTITUTE(O55,";",""))+1)</f>
        <v>5</v>
      </c>
      <c r="Q55" s="2" t="n">
        <f aca="false">INDEX(Sections!$B$2:$B$4,MATCH(E55,Sections!$A$2:$A$4,0))</f>
        <v>40</v>
      </c>
      <c r="R55" s="6" t="n">
        <f aca="false">P55/Q55</f>
        <v>0.125</v>
      </c>
      <c r="S55" s="5" t="n">
        <f aca="false">ROUND(Formula!$B$2*I55*20+Formula!$B$3*R55*100+Formula!$B$4*H55*20+Formula!$B$5*MIN(N55*100/Formula!$B$7,100),2)/100</f>
        <v>0.3371</v>
      </c>
    </row>
    <row r="56" customFormat="false" ht="15" hidden="false" customHeight="false" outlineLevel="0" collapsed="false">
      <c r="A56" s="9" t="n">
        <v>1055</v>
      </c>
      <c r="B56" s="10" t="s">
        <v>436</v>
      </c>
      <c r="C56" s="10" t="s">
        <v>437</v>
      </c>
      <c r="D56" s="9" t="s">
        <v>286</v>
      </c>
      <c r="E56" s="9" t="s">
        <v>25</v>
      </c>
      <c r="F56" s="9" t="s">
        <v>146</v>
      </c>
      <c r="G56" s="2" t="str">
        <f aca="false">INDEX(Students!$B$2:$B$101,MATCH(F56,Students!$A$2:$A$101,0))</f>
        <v>Amit Kulkarni</v>
      </c>
      <c r="H56" s="9" t="n">
        <v>4</v>
      </c>
      <c r="I56" s="9" t="n">
        <v>3</v>
      </c>
      <c r="J56" s="9" t="s">
        <v>259</v>
      </c>
      <c r="K56" s="9" t="s">
        <v>20</v>
      </c>
      <c r="L56" s="9" t="s">
        <v>303</v>
      </c>
      <c r="M56" s="10" t="s">
        <v>261</v>
      </c>
      <c r="N56" s="9" t="n">
        <v>15</v>
      </c>
      <c r="O56" s="9" t="s">
        <v>438</v>
      </c>
      <c r="P56" s="2" t="n">
        <f aca="false">IF(O56="",0,LEN(O56)-LEN(SUBSTITUTE(O56,";",""))+1)</f>
        <v>6</v>
      </c>
      <c r="Q56" s="2" t="n">
        <f aca="false">INDEX(Sections!$B$2:$B$4,MATCH(E56,Sections!$A$2:$A$4,0))</f>
        <v>40</v>
      </c>
      <c r="R56" s="6" t="n">
        <f aca="false">P56/Q56</f>
        <v>0.15</v>
      </c>
      <c r="S56" s="5" t="n">
        <f aca="false">ROUND(Formula!$B$2*I56*20+Formula!$B$3*R56*100+Formula!$B$4*H56*20+Formula!$B$5*MIN(N56*100/Formula!$B$7,100),2)/100</f>
        <v>0.4725</v>
      </c>
    </row>
    <row r="57" customFormat="false" ht="15" hidden="false" customHeight="false" outlineLevel="0" collapsed="false">
      <c r="A57" s="9" t="n">
        <v>1056</v>
      </c>
      <c r="B57" s="10" t="s">
        <v>297</v>
      </c>
      <c r="C57" s="10" t="s">
        <v>298</v>
      </c>
      <c r="D57" s="9" t="s">
        <v>265</v>
      </c>
      <c r="E57" s="9" t="s">
        <v>25</v>
      </c>
      <c r="F57" s="9" t="s">
        <v>148</v>
      </c>
      <c r="G57" s="2" t="str">
        <f aca="false">INDEX(Students!$B$2:$B$101,MATCH(F57,Students!$A$2:$A$101,0))</f>
        <v>Ganesh Gokhale</v>
      </c>
      <c r="H57" s="9" t="n">
        <v>4</v>
      </c>
      <c r="I57" s="9" t="n">
        <v>3</v>
      </c>
      <c r="J57" s="9" t="s">
        <v>259</v>
      </c>
      <c r="K57" s="9" t="s">
        <v>287</v>
      </c>
      <c r="L57" s="9"/>
      <c r="M57" s="10"/>
      <c r="N57" s="9" t="n">
        <v>2</v>
      </c>
      <c r="O57" s="9" t="s">
        <v>439</v>
      </c>
      <c r="P57" s="2" t="n">
        <f aca="false">IF(O57="",0,LEN(O57)-LEN(SUBSTITUTE(O57,";",""))+1)</f>
        <v>18</v>
      </c>
      <c r="Q57" s="2" t="n">
        <f aca="false">INDEX(Sections!$B$2:$B$4,MATCH(E57,Sections!$A$2:$A$4,0))</f>
        <v>40</v>
      </c>
      <c r="R57" s="6" t="n">
        <f aca="false">P57/Q57</f>
        <v>0.45</v>
      </c>
      <c r="S57" s="5" t="n">
        <f aca="false">ROUND(Formula!$B$2*I57*20+Formula!$B$3*R57*100+Formula!$B$4*H57*20+Formula!$B$5*MIN(N57*100/Formula!$B$7,100),2)/100</f>
        <v>0.5342</v>
      </c>
    </row>
    <row r="58" customFormat="false" ht="23.85" hidden="false" customHeight="false" outlineLevel="0" collapsed="false">
      <c r="A58" s="9" t="n">
        <v>1057</v>
      </c>
      <c r="B58" s="10" t="s">
        <v>440</v>
      </c>
      <c r="C58" s="10" t="s">
        <v>441</v>
      </c>
      <c r="D58" s="9" t="s">
        <v>258</v>
      </c>
      <c r="E58" s="9" t="s">
        <v>25</v>
      </c>
      <c r="F58" s="9" t="s">
        <v>150</v>
      </c>
      <c r="G58" s="2" t="str">
        <f aca="false">INDEX(Students!$B$2:$B$101,MATCH(F58,Students!$A$2:$A$101,0))</f>
        <v>Swati Pandey</v>
      </c>
      <c r="H58" s="9" t="n">
        <v>4</v>
      </c>
      <c r="I58" s="9" t="n">
        <v>3</v>
      </c>
      <c r="J58" s="9" t="s">
        <v>259</v>
      </c>
      <c r="K58" s="9" t="s">
        <v>379</v>
      </c>
      <c r="L58" s="9" t="s">
        <v>260</v>
      </c>
      <c r="M58" s="10" t="s">
        <v>380</v>
      </c>
      <c r="N58" s="9" t="n">
        <v>23</v>
      </c>
      <c r="O58" s="9" t="s">
        <v>442</v>
      </c>
      <c r="P58" s="2" t="n">
        <f aca="false">IF(O58="",0,LEN(O58)-LEN(SUBSTITUTE(O58,";",""))+1)</f>
        <v>7</v>
      </c>
      <c r="Q58" s="2" t="n">
        <f aca="false">INDEX(Sections!$B$2:$B$4,MATCH(E58,Sections!$A$2:$A$4,0))</f>
        <v>40</v>
      </c>
      <c r="R58" s="6" t="n">
        <f aca="false">P58/Q58</f>
        <v>0.175</v>
      </c>
      <c r="S58" s="5" t="n">
        <f aca="false">ROUND(Formula!$B$2*I58*20+Formula!$B$3*R58*100+Formula!$B$4*H58*20+Formula!$B$5*MIN(N58*100/Formula!$B$7,100),2)/100</f>
        <v>0.5079</v>
      </c>
    </row>
    <row r="59" customFormat="false" ht="15" hidden="false" customHeight="false" outlineLevel="0" collapsed="false">
      <c r="A59" s="9" t="n">
        <v>1058</v>
      </c>
      <c r="B59" s="10" t="s">
        <v>443</v>
      </c>
      <c r="C59" s="10" t="s">
        <v>285</v>
      </c>
      <c r="D59" s="9" t="s">
        <v>286</v>
      </c>
      <c r="E59" s="9" t="s">
        <v>25</v>
      </c>
      <c r="F59" s="9" t="s">
        <v>152</v>
      </c>
      <c r="G59" s="2" t="str">
        <f aca="false">INDEX(Students!$B$2:$B$101,MATCH(F59,Students!$A$2:$A$101,0))</f>
        <v>Ketaki Rao</v>
      </c>
      <c r="H59" s="9" t="n">
        <v>5</v>
      </c>
      <c r="I59" s="9" t="n">
        <v>4</v>
      </c>
      <c r="J59" s="9" t="s">
        <v>259</v>
      </c>
      <c r="K59" s="9" t="s">
        <v>302</v>
      </c>
      <c r="L59" s="9" t="s">
        <v>303</v>
      </c>
      <c r="M59" s="10" t="s">
        <v>304</v>
      </c>
      <c r="N59" s="9" t="n">
        <v>6</v>
      </c>
      <c r="O59" s="9" t="s">
        <v>444</v>
      </c>
      <c r="P59" s="2" t="n">
        <f aca="false">IF(O59="",0,LEN(O59)-LEN(SUBSTITUTE(O59,";",""))+1)</f>
        <v>7</v>
      </c>
      <c r="Q59" s="2" t="n">
        <f aca="false">INDEX(Sections!$B$2:$B$4,MATCH(E59,Sections!$A$2:$A$4,0))</f>
        <v>40</v>
      </c>
      <c r="R59" s="6" t="n">
        <f aca="false">P59/Q59</f>
        <v>0.175</v>
      </c>
      <c r="S59" s="5" t="n">
        <f aca="false">ROUND(Formula!$B$2*I59*20+Formula!$B$3*R59*100+Formula!$B$4*H59*20+Formula!$B$5*MIN(N59*100/Formula!$B$7,100),2)/100</f>
        <v>0.5613</v>
      </c>
    </row>
    <row r="60" customFormat="false" ht="15" hidden="false" customHeight="false" outlineLevel="0" collapsed="false">
      <c r="A60" s="9" t="n">
        <v>1059</v>
      </c>
      <c r="B60" s="10" t="s">
        <v>445</v>
      </c>
      <c r="C60" s="10" t="s">
        <v>446</v>
      </c>
      <c r="D60" s="9" t="s">
        <v>286</v>
      </c>
      <c r="E60" s="9" t="s">
        <v>25</v>
      </c>
      <c r="F60" s="9" t="s">
        <v>154</v>
      </c>
      <c r="G60" s="2" t="str">
        <f aca="false">INDEX(Students!$B$2:$B$101,MATCH(F60,Students!$A$2:$A$101,0))</f>
        <v>Isha Bhosale</v>
      </c>
      <c r="H60" s="9" t="n">
        <v>3</v>
      </c>
      <c r="I60" s="9" t="n">
        <v>3</v>
      </c>
      <c r="J60" s="9" t="s">
        <v>259</v>
      </c>
      <c r="K60" s="9" t="s">
        <v>287</v>
      </c>
      <c r="L60" s="9"/>
      <c r="M60" s="10"/>
      <c r="N60" s="9" t="n">
        <v>2</v>
      </c>
      <c r="O60" s="9" t="s">
        <v>447</v>
      </c>
      <c r="P60" s="2" t="n">
        <f aca="false">IF(O60="",0,LEN(O60)-LEN(SUBSTITUTE(O60,";",""))+1)</f>
        <v>3</v>
      </c>
      <c r="Q60" s="2" t="n">
        <f aca="false">INDEX(Sections!$B$2:$B$4,MATCH(E60,Sections!$A$2:$A$4,0))</f>
        <v>40</v>
      </c>
      <c r="R60" s="6" t="n">
        <f aca="false">P60/Q60</f>
        <v>0.075</v>
      </c>
      <c r="S60" s="5" t="n">
        <f aca="false">ROUND(Formula!$B$2*I60*20+Formula!$B$3*R60*100+Formula!$B$4*H60*20+Formula!$B$5*MIN(N60*100/Formula!$B$7,100),2)/100</f>
        <v>0.3629</v>
      </c>
    </row>
    <row r="61" customFormat="false" ht="23.85" hidden="false" customHeight="false" outlineLevel="0" collapsed="false">
      <c r="A61" s="9" t="n">
        <v>1060</v>
      </c>
      <c r="B61" s="10" t="s">
        <v>448</v>
      </c>
      <c r="C61" s="10" t="s">
        <v>449</v>
      </c>
      <c r="D61" s="9" t="s">
        <v>258</v>
      </c>
      <c r="E61" s="9" t="s">
        <v>25</v>
      </c>
      <c r="F61" s="9" t="s">
        <v>156</v>
      </c>
      <c r="G61" s="2" t="str">
        <f aca="false">INDEX(Students!$B$2:$B$101,MATCH(F61,Students!$A$2:$A$101,0))</f>
        <v>Neel Parab</v>
      </c>
      <c r="H61" s="9" t="n">
        <v>3</v>
      </c>
      <c r="I61" s="9" t="n">
        <v>3</v>
      </c>
      <c r="J61" s="9" t="s">
        <v>259</v>
      </c>
      <c r="K61" s="9" t="s">
        <v>287</v>
      </c>
      <c r="L61" s="9"/>
      <c r="M61" s="10"/>
      <c r="N61" s="9" t="n">
        <v>4</v>
      </c>
      <c r="O61" s="9" t="s">
        <v>450</v>
      </c>
      <c r="P61" s="2" t="n">
        <f aca="false">IF(O61="",0,LEN(O61)-LEN(SUBSTITUTE(O61,";",""))+1)</f>
        <v>28</v>
      </c>
      <c r="Q61" s="2" t="n">
        <f aca="false">INDEX(Sections!$B$2:$B$4,MATCH(E61,Sections!$A$2:$A$4,0))</f>
        <v>40</v>
      </c>
      <c r="R61" s="6" t="n">
        <f aca="false">P61/Q61</f>
        <v>0.7</v>
      </c>
      <c r="S61" s="5" t="n">
        <f aca="false">ROUND(Formula!$B$2*I61*20+Formula!$B$3*R61*100+Formula!$B$4*H61*20+Formula!$B$5*MIN(N61*100/Formula!$B$7,100),2)/100</f>
        <v>0.5883</v>
      </c>
    </row>
    <row r="62" customFormat="false" ht="15" hidden="false" customHeight="false" outlineLevel="0" collapsed="false">
      <c r="A62" s="9" t="n">
        <v>1061</v>
      </c>
      <c r="B62" s="10" t="s">
        <v>451</v>
      </c>
      <c r="C62" s="10" t="s">
        <v>452</v>
      </c>
      <c r="D62" s="9" t="s">
        <v>334</v>
      </c>
      <c r="E62" s="9" t="s">
        <v>25</v>
      </c>
      <c r="F62" s="9" t="s">
        <v>158</v>
      </c>
      <c r="G62" s="2" t="str">
        <f aca="false">INDEX(Students!$B$2:$B$101,MATCH(F62,Students!$A$2:$A$101,0))</f>
        <v>Vaishnavi Pandey</v>
      </c>
      <c r="H62" s="9" t="n">
        <v>2</v>
      </c>
      <c r="I62" s="9" t="n">
        <v>2</v>
      </c>
      <c r="J62" s="9" t="s">
        <v>259</v>
      </c>
      <c r="K62" s="9" t="s">
        <v>338</v>
      </c>
      <c r="L62" s="9" t="s">
        <v>372</v>
      </c>
      <c r="M62" s="10" t="s">
        <v>339</v>
      </c>
      <c r="N62" s="9" t="n">
        <v>8</v>
      </c>
      <c r="O62" s="9" t="s">
        <v>453</v>
      </c>
      <c r="P62" s="2" t="n">
        <f aca="false">IF(O62="",0,LEN(O62)-LEN(SUBSTITUTE(O62,";",""))+1)</f>
        <v>8</v>
      </c>
      <c r="Q62" s="2" t="n">
        <f aca="false">INDEX(Sections!$B$2:$B$4,MATCH(E62,Sections!$A$2:$A$4,0))</f>
        <v>40</v>
      </c>
      <c r="R62" s="6" t="n">
        <f aca="false">P62/Q62</f>
        <v>0.2</v>
      </c>
      <c r="S62" s="5" t="n">
        <f aca="false">ROUND(Formula!$B$2*I62*20+Formula!$B$3*R62*100+Formula!$B$4*H62*20+Formula!$B$5*MIN(N62*100/Formula!$B$7,100),2)/100</f>
        <v>0.3167</v>
      </c>
    </row>
    <row r="63" customFormat="false" ht="15" hidden="false" customHeight="false" outlineLevel="0" collapsed="false">
      <c r="A63" s="9" t="n">
        <v>1062</v>
      </c>
      <c r="B63" s="10" t="s">
        <v>454</v>
      </c>
      <c r="C63" s="10" t="s">
        <v>455</v>
      </c>
      <c r="D63" s="9" t="s">
        <v>334</v>
      </c>
      <c r="E63" s="9" t="s">
        <v>25</v>
      </c>
      <c r="F63" s="9" t="s">
        <v>160</v>
      </c>
      <c r="G63" s="2" t="str">
        <f aca="false">INDEX(Students!$B$2:$B$101,MATCH(F63,Students!$A$2:$A$101,0))</f>
        <v>Trupti Surve</v>
      </c>
      <c r="H63" s="9" t="n">
        <v>2</v>
      </c>
      <c r="I63" s="9" t="n">
        <v>1</v>
      </c>
      <c r="J63" s="9" t="s">
        <v>259</v>
      </c>
      <c r="K63" s="9" t="s">
        <v>275</v>
      </c>
      <c r="L63" s="9" t="s">
        <v>372</v>
      </c>
      <c r="M63" s="10" t="s">
        <v>276</v>
      </c>
      <c r="N63" s="9" t="n">
        <v>21</v>
      </c>
      <c r="O63" s="9" t="s">
        <v>456</v>
      </c>
      <c r="P63" s="2" t="n">
        <f aca="false">IF(O63="",0,LEN(O63)-LEN(SUBSTITUTE(O63,";",""))+1)</f>
        <v>25</v>
      </c>
      <c r="Q63" s="2" t="n">
        <f aca="false">INDEX(Sections!$B$2:$B$4,MATCH(E63,Sections!$A$2:$A$4,0))</f>
        <v>40</v>
      </c>
      <c r="R63" s="6" t="n">
        <f aca="false">P63/Q63</f>
        <v>0.625</v>
      </c>
      <c r="S63" s="5" t="n">
        <f aca="false">ROUND(Formula!$B$2*I63*20+Formula!$B$3*R63*100+Formula!$B$4*H63*20+Formula!$B$5*MIN(N63*100/Formula!$B$7,100),2)/100</f>
        <v>0.4388</v>
      </c>
    </row>
    <row r="64" customFormat="false" ht="23.85" hidden="false" customHeight="false" outlineLevel="0" collapsed="false">
      <c r="A64" s="9" t="n">
        <v>1063</v>
      </c>
      <c r="B64" s="10" t="s">
        <v>457</v>
      </c>
      <c r="C64" s="10" t="s">
        <v>458</v>
      </c>
      <c r="D64" s="9" t="s">
        <v>334</v>
      </c>
      <c r="E64" s="9" t="s">
        <v>25</v>
      </c>
      <c r="F64" s="9" t="s">
        <v>162</v>
      </c>
      <c r="G64" s="2" t="str">
        <f aca="false">INDEX(Students!$B$2:$B$101,MATCH(F64,Students!$A$2:$A$101,0))</f>
        <v>Gauri Mhatre</v>
      </c>
      <c r="H64" s="9" t="n">
        <v>3</v>
      </c>
      <c r="I64" s="9" t="n">
        <v>3</v>
      </c>
      <c r="J64" s="9" t="s">
        <v>259</v>
      </c>
      <c r="K64" s="9" t="s">
        <v>270</v>
      </c>
      <c r="L64" s="9" t="s">
        <v>372</v>
      </c>
      <c r="M64" s="10" t="s">
        <v>271</v>
      </c>
      <c r="N64" s="9" t="n">
        <v>7</v>
      </c>
      <c r="O64" s="9" t="s">
        <v>459</v>
      </c>
      <c r="P64" s="2" t="n">
        <f aca="false">IF(O64="",0,LEN(O64)-LEN(SUBSTITUTE(O64,";",""))+1)</f>
        <v>2</v>
      </c>
      <c r="Q64" s="2" t="n">
        <f aca="false">INDEX(Sections!$B$2:$B$4,MATCH(E64,Sections!$A$2:$A$4,0))</f>
        <v>40</v>
      </c>
      <c r="R64" s="6" t="n">
        <f aca="false">P64/Q64</f>
        <v>0.05</v>
      </c>
      <c r="S64" s="5" t="n">
        <f aca="false">ROUND(Formula!$B$2*I64*20+Formula!$B$3*R64*100+Formula!$B$4*H64*20+Formula!$B$5*MIN(N64*100/Formula!$B$7,100),2)/100</f>
        <v>0.3708</v>
      </c>
    </row>
    <row r="65" customFormat="false" ht="15" hidden="false" customHeight="false" outlineLevel="0" collapsed="false">
      <c r="A65" s="9" t="n">
        <v>1064</v>
      </c>
      <c r="B65" s="10" t="s">
        <v>321</v>
      </c>
      <c r="C65" s="10" t="s">
        <v>322</v>
      </c>
      <c r="D65" s="9" t="s">
        <v>323</v>
      </c>
      <c r="E65" s="9" t="s">
        <v>25</v>
      </c>
      <c r="F65" s="9" t="s">
        <v>164</v>
      </c>
      <c r="G65" s="2" t="str">
        <f aca="false">INDEX(Students!$B$2:$B$101,MATCH(F65,Students!$A$2:$A$101,0))</f>
        <v>Pallavi Tilak</v>
      </c>
      <c r="H65" s="9" t="n">
        <v>5</v>
      </c>
      <c r="I65" s="9" t="n">
        <v>5</v>
      </c>
      <c r="J65" s="9" t="s">
        <v>259</v>
      </c>
      <c r="K65" s="9" t="s">
        <v>338</v>
      </c>
      <c r="L65" s="9" t="s">
        <v>260</v>
      </c>
      <c r="M65" s="10" t="s">
        <v>339</v>
      </c>
      <c r="N65" s="9" t="n">
        <v>14</v>
      </c>
      <c r="O65" s="9" t="s">
        <v>460</v>
      </c>
      <c r="P65" s="2" t="n">
        <f aca="false">IF(O65="",0,LEN(O65)-LEN(SUBSTITUTE(O65,";",""))+1)</f>
        <v>9</v>
      </c>
      <c r="Q65" s="2" t="n">
        <f aca="false">INDEX(Sections!$B$2:$B$4,MATCH(E65,Sections!$A$2:$A$4,0))</f>
        <v>40</v>
      </c>
      <c r="R65" s="6" t="n">
        <f aca="false">P65/Q65</f>
        <v>0.225</v>
      </c>
      <c r="S65" s="5" t="n">
        <f aca="false">ROUND(Formula!$B$2*I65*20+Formula!$B$3*R65*100+Formula!$B$4*H65*20+Formula!$B$5*MIN(N65*100/Formula!$B$7,100),2)/100</f>
        <v>0.6754</v>
      </c>
    </row>
    <row r="66" customFormat="false" ht="15" hidden="false" customHeight="false" outlineLevel="0" collapsed="false">
      <c r="A66" s="9" t="n">
        <v>1065</v>
      </c>
      <c r="B66" s="10" t="s">
        <v>461</v>
      </c>
      <c r="C66" s="10" t="s">
        <v>462</v>
      </c>
      <c r="D66" s="9" t="s">
        <v>323</v>
      </c>
      <c r="E66" s="9" t="s">
        <v>25</v>
      </c>
      <c r="F66" s="9" t="s">
        <v>166</v>
      </c>
      <c r="G66" s="2" t="str">
        <f aca="false">INDEX(Students!$B$2:$B$101,MATCH(F66,Students!$A$2:$A$101,0))</f>
        <v>Sahil Nair</v>
      </c>
      <c r="H66" s="9" t="n">
        <v>5</v>
      </c>
      <c r="I66" s="9" t="n">
        <v>5</v>
      </c>
      <c r="J66" s="9" t="s">
        <v>259</v>
      </c>
      <c r="K66" s="9" t="s">
        <v>361</v>
      </c>
      <c r="L66" s="9"/>
      <c r="M66" s="10" t="s">
        <v>362</v>
      </c>
      <c r="N66" s="9" t="n">
        <v>14</v>
      </c>
      <c r="O66" s="9" t="s">
        <v>463</v>
      </c>
      <c r="P66" s="2" t="n">
        <f aca="false">IF(O66="",0,LEN(O66)-LEN(SUBSTITUTE(O66,";",""))+1)</f>
        <v>3</v>
      </c>
      <c r="Q66" s="2" t="n">
        <f aca="false">INDEX(Sections!$B$2:$B$4,MATCH(E66,Sections!$A$2:$A$4,0))</f>
        <v>40</v>
      </c>
      <c r="R66" s="6" t="n">
        <f aca="false">P66/Q66</f>
        <v>0.075</v>
      </c>
      <c r="S66" s="5" t="n">
        <f aca="false">ROUND(Formula!$B$2*I66*20+Formula!$B$3*R66*100+Formula!$B$4*H66*20+Formula!$B$5*MIN(N66*100/Formula!$B$7,100),2)/100</f>
        <v>0.6229</v>
      </c>
    </row>
    <row r="67" customFormat="false" ht="23.85" hidden="false" customHeight="false" outlineLevel="0" collapsed="false">
      <c r="A67" s="9" t="n">
        <v>1066</v>
      </c>
      <c r="B67" s="10" t="s">
        <v>464</v>
      </c>
      <c r="C67" s="10" t="s">
        <v>465</v>
      </c>
      <c r="D67" s="9" t="s">
        <v>265</v>
      </c>
      <c r="E67" s="9" t="s">
        <v>25</v>
      </c>
      <c r="F67" s="9" t="s">
        <v>168</v>
      </c>
      <c r="G67" s="2" t="str">
        <f aca="false">INDEX(Students!$B$2:$B$101,MATCH(F67,Students!$A$2:$A$101,0))</f>
        <v>Sneha Pandey</v>
      </c>
      <c r="H67" s="9" t="n">
        <v>5</v>
      </c>
      <c r="I67" s="9" t="n">
        <v>3</v>
      </c>
      <c r="J67" s="9" t="s">
        <v>259</v>
      </c>
      <c r="K67" s="9" t="s">
        <v>287</v>
      </c>
      <c r="L67" s="9"/>
      <c r="M67" s="10"/>
      <c r="N67" s="9" t="n">
        <v>3</v>
      </c>
      <c r="O67" s="9" t="s">
        <v>466</v>
      </c>
      <c r="P67" s="2" t="n">
        <f aca="false">IF(O67="",0,LEN(O67)-LEN(SUBSTITUTE(O67,";",""))+1)</f>
        <v>3</v>
      </c>
      <c r="Q67" s="2" t="n">
        <f aca="false">INDEX(Sections!$B$2:$B$4,MATCH(E67,Sections!$A$2:$A$4,0))</f>
        <v>40</v>
      </c>
      <c r="R67" s="6" t="n">
        <f aca="false">P67/Q67</f>
        <v>0.075</v>
      </c>
      <c r="S67" s="5" t="n">
        <f aca="false">ROUND(Formula!$B$2*I67*20+Formula!$B$3*R67*100+Formula!$B$4*H67*20+Formula!$B$5*MIN(N67*100/Formula!$B$7,100),2)/100</f>
        <v>0.4463</v>
      </c>
    </row>
    <row r="68" customFormat="false" ht="15" hidden="false" customHeight="false" outlineLevel="0" collapsed="false">
      <c r="A68" s="9" t="n">
        <v>1067</v>
      </c>
      <c r="B68" s="10" t="s">
        <v>467</v>
      </c>
      <c r="C68" s="10" t="s">
        <v>468</v>
      </c>
      <c r="D68" s="9" t="s">
        <v>286</v>
      </c>
      <c r="E68" s="9" t="s">
        <v>25</v>
      </c>
      <c r="F68" s="9" t="s">
        <v>170</v>
      </c>
      <c r="G68" s="2" t="str">
        <f aca="false">INDEX(Students!$B$2:$B$101,MATCH(F68,Students!$A$2:$A$101,0))</f>
        <v>Trupti Shah</v>
      </c>
      <c r="H68" s="9" t="n">
        <v>4</v>
      </c>
      <c r="I68" s="9" t="n">
        <v>3</v>
      </c>
      <c r="J68" s="9" t="s">
        <v>259</v>
      </c>
      <c r="K68" s="9" t="s">
        <v>287</v>
      </c>
      <c r="L68" s="9"/>
      <c r="M68" s="10"/>
      <c r="N68" s="9" t="n">
        <v>4</v>
      </c>
      <c r="O68" s="9" t="s">
        <v>469</v>
      </c>
      <c r="P68" s="2" t="n">
        <f aca="false">IF(O68="",0,LEN(O68)-LEN(SUBSTITUTE(O68,";",""))+1)</f>
        <v>8</v>
      </c>
      <c r="Q68" s="2" t="n">
        <f aca="false">INDEX(Sections!$B$2:$B$4,MATCH(E68,Sections!$A$2:$A$4,0))</f>
        <v>40</v>
      </c>
      <c r="R68" s="6" t="n">
        <f aca="false">P68/Q68</f>
        <v>0.2</v>
      </c>
      <c r="S68" s="5" t="n">
        <f aca="false">ROUND(Formula!$B$2*I68*20+Formula!$B$3*R68*100+Formula!$B$4*H68*20+Formula!$B$5*MIN(N68*100/Formula!$B$7,100),2)/100</f>
        <v>0.4533</v>
      </c>
    </row>
    <row r="69" customFormat="false" ht="23.85" hidden="false" customHeight="false" outlineLevel="0" collapsed="false">
      <c r="A69" s="9" t="n">
        <v>1068</v>
      </c>
      <c r="B69" s="10" t="s">
        <v>470</v>
      </c>
      <c r="C69" s="10" t="s">
        <v>471</v>
      </c>
      <c r="D69" s="9" t="s">
        <v>265</v>
      </c>
      <c r="E69" s="9" t="s">
        <v>25</v>
      </c>
      <c r="F69" s="9" t="s">
        <v>172</v>
      </c>
      <c r="G69" s="2" t="str">
        <f aca="false">INDEX(Students!$B$2:$B$101,MATCH(F69,Students!$A$2:$A$101,0))</f>
        <v>Shreya Chavan</v>
      </c>
      <c r="H69" s="9" t="n">
        <v>3</v>
      </c>
      <c r="I69" s="9" t="n">
        <v>3</v>
      </c>
      <c r="J69" s="9" t="s">
        <v>259</v>
      </c>
      <c r="K69" s="9" t="s">
        <v>287</v>
      </c>
      <c r="L69" s="9"/>
      <c r="M69" s="10"/>
      <c r="N69" s="9" t="n">
        <v>4</v>
      </c>
      <c r="O69" s="9" t="s">
        <v>472</v>
      </c>
      <c r="P69" s="2" t="n">
        <f aca="false">IF(O69="",0,LEN(O69)-LEN(SUBSTITUTE(O69,";",""))+1)</f>
        <v>7</v>
      </c>
      <c r="Q69" s="2" t="n">
        <f aca="false">INDEX(Sections!$B$2:$B$4,MATCH(E69,Sections!$A$2:$A$4,0))</f>
        <v>40</v>
      </c>
      <c r="R69" s="6" t="n">
        <f aca="false">P69/Q69</f>
        <v>0.175</v>
      </c>
      <c r="S69" s="5" t="n">
        <f aca="false">ROUND(Formula!$B$2*I69*20+Formula!$B$3*R69*100+Formula!$B$4*H69*20+Formula!$B$5*MIN(N69*100/Formula!$B$7,100),2)/100</f>
        <v>0.4046</v>
      </c>
    </row>
    <row r="70" customFormat="false" ht="15" hidden="false" customHeight="false" outlineLevel="0" collapsed="false">
      <c r="A70" s="9" t="n">
        <v>1069</v>
      </c>
      <c r="B70" s="10" t="s">
        <v>396</v>
      </c>
      <c r="C70" s="10" t="s">
        <v>473</v>
      </c>
      <c r="D70" s="9" t="s">
        <v>286</v>
      </c>
      <c r="E70" s="9" t="s">
        <v>25</v>
      </c>
      <c r="F70" s="9" t="s">
        <v>174</v>
      </c>
      <c r="G70" s="2" t="str">
        <f aca="false">INDEX(Students!$B$2:$B$101,MATCH(F70,Students!$A$2:$A$101,0))</f>
        <v>Payal Lad</v>
      </c>
      <c r="H70" s="9" t="n">
        <v>4</v>
      </c>
      <c r="I70" s="9" t="n">
        <v>3</v>
      </c>
      <c r="J70" s="9" t="s">
        <v>259</v>
      </c>
      <c r="K70" s="9" t="s">
        <v>287</v>
      </c>
      <c r="L70" s="9"/>
      <c r="M70" s="10"/>
      <c r="N70" s="9" t="n">
        <v>1</v>
      </c>
      <c r="O70" s="9" t="s">
        <v>474</v>
      </c>
      <c r="P70" s="2" t="n">
        <f aca="false">IF(O70="",0,LEN(O70)-LEN(SUBSTITUTE(O70,";",""))+1)</f>
        <v>7</v>
      </c>
      <c r="Q70" s="2" t="n">
        <f aca="false">INDEX(Sections!$B$2:$B$4,MATCH(E70,Sections!$A$2:$A$4,0))</f>
        <v>40</v>
      </c>
      <c r="R70" s="6" t="n">
        <f aca="false">P70/Q70</f>
        <v>0.175</v>
      </c>
      <c r="S70" s="5" t="n">
        <f aca="false">ROUND(Formula!$B$2*I70*20+Formula!$B$3*R70*100+Formula!$B$4*H70*20+Formula!$B$5*MIN(N70*100/Formula!$B$7,100),2)/100</f>
        <v>0.4346</v>
      </c>
    </row>
    <row r="71" customFormat="false" ht="23.85" hidden="false" customHeight="false" outlineLevel="0" collapsed="false">
      <c r="A71" s="9" t="n">
        <v>1070</v>
      </c>
      <c r="B71" s="10" t="s">
        <v>382</v>
      </c>
      <c r="C71" s="10" t="s">
        <v>383</v>
      </c>
      <c r="D71" s="9" t="s">
        <v>286</v>
      </c>
      <c r="E71" s="9" t="s">
        <v>25</v>
      </c>
      <c r="F71" s="9" t="s">
        <v>176</v>
      </c>
      <c r="G71" s="2" t="str">
        <f aca="false">INDEX(Students!$B$2:$B$101,MATCH(F71,Students!$A$2:$A$101,0))</f>
        <v>Snehal Deshmukh</v>
      </c>
      <c r="H71" s="9" t="n">
        <v>3</v>
      </c>
      <c r="I71" s="9" t="n">
        <v>3</v>
      </c>
      <c r="J71" s="9" t="s">
        <v>259</v>
      </c>
      <c r="K71" s="9" t="s">
        <v>275</v>
      </c>
      <c r="L71" s="9" t="s">
        <v>303</v>
      </c>
      <c r="M71" s="10" t="s">
        <v>276</v>
      </c>
      <c r="N71" s="9" t="n">
        <v>4</v>
      </c>
      <c r="O71" s="9" t="s">
        <v>475</v>
      </c>
      <c r="P71" s="2" t="n">
        <f aca="false">IF(O71="",0,LEN(O71)-LEN(SUBSTITUTE(O71,";",""))+1)</f>
        <v>4</v>
      </c>
      <c r="Q71" s="2" t="n">
        <f aca="false">INDEX(Sections!$B$2:$B$4,MATCH(E71,Sections!$A$2:$A$4,0))</f>
        <v>40</v>
      </c>
      <c r="R71" s="6" t="n">
        <f aca="false">P71/Q71</f>
        <v>0.1</v>
      </c>
      <c r="S71" s="5" t="n">
        <f aca="false">ROUND(Formula!$B$2*I71*20+Formula!$B$3*R71*100+Formula!$B$4*H71*20+Formula!$B$5*MIN(N71*100/Formula!$B$7,100),2)/100</f>
        <v>0.3783</v>
      </c>
    </row>
    <row r="72" customFormat="false" ht="23.85" hidden="false" customHeight="false" outlineLevel="0" collapsed="false">
      <c r="A72" s="9" t="n">
        <v>1071</v>
      </c>
      <c r="B72" s="10" t="s">
        <v>273</v>
      </c>
      <c r="C72" s="10" t="s">
        <v>274</v>
      </c>
      <c r="D72" s="9" t="s">
        <v>265</v>
      </c>
      <c r="E72" s="9" t="s">
        <v>25</v>
      </c>
      <c r="F72" s="9" t="s">
        <v>178</v>
      </c>
      <c r="G72" s="2" t="str">
        <f aca="false">INDEX(Students!$B$2:$B$101,MATCH(F72,Students!$A$2:$A$101,0))</f>
        <v>Ishaan Rao</v>
      </c>
      <c r="H72" s="9" t="n">
        <v>5</v>
      </c>
      <c r="I72" s="9" t="n">
        <v>3</v>
      </c>
      <c r="J72" s="9" t="s">
        <v>259</v>
      </c>
      <c r="K72" s="9" t="s">
        <v>20</v>
      </c>
      <c r="L72" s="9" t="s">
        <v>266</v>
      </c>
      <c r="M72" s="10" t="s">
        <v>261</v>
      </c>
      <c r="N72" s="9" t="n">
        <v>12</v>
      </c>
      <c r="O72" s="9" t="s">
        <v>178</v>
      </c>
      <c r="P72" s="2" t="n">
        <f aca="false">IF(O72="",0,LEN(O72)-LEN(SUBSTITUTE(O72,";",""))+1)</f>
        <v>1</v>
      </c>
      <c r="Q72" s="2" t="n">
        <f aca="false">INDEX(Sections!$B$2:$B$4,MATCH(E72,Sections!$A$2:$A$4,0))</f>
        <v>40</v>
      </c>
      <c r="R72" s="6" t="n">
        <f aca="false">P72/Q72</f>
        <v>0.025</v>
      </c>
      <c r="S72" s="5" t="n">
        <f aca="false">ROUND(Formula!$B$2*I72*20+Formula!$B$3*R72*100+Formula!$B$4*H72*20+Formula!$B$5*MIN(N72*100/Formula!$B$7,100),2)/100</f>
        <v>0.4588</v>
      </c>
    </row>
    <row r="73" customFormat="false" ht="23.85" hidden="false" customHeight="false" outlineLevel="0" collapsed="false">
      <c r="A73" s="9" t="n">
        <v>1072</v>
      </c>
      <c r="B73" s="10" t="s">
        <v>476</v>
      </c>
      <c r="C73" s="10" t="s">
        <v>477</v>
      </c>
      <c r="D73" s="9" t="s">
        <v>258</v>
      </c>
      <c r="E73" s="9" t="s">
        <v>25</v>
      </c>
      <c r="F73" s="9" t="s">
        <v>180</v>
      </c>
      <c r="G73" s="2" t="str">
        <f aca="false">INDEX(Students!$B$2:$B$101,MATCH(F73,Students!$A$2:$A$101,0))</f>
        <v>Shruti Pawar</v>
      </c>
      <c r="H73" s="9" t="n">
        <v>3</v>
      </c>
      <c r="I73" s="9" t="n">
        <v>3</v>
      </c>
      <c r="J73" s="9" t="s">
        <v>259</v>
      </c>
      <c r="K73" s="9" t="s">
        <v>287</v>
      </c>
      <c r="L73" s="9"/>
      <c r="M73" s="10"/>
      <c r="N73" s="9" t="n">
        <v>3</v>
      </c>
      <c r="O73" s="9" t="s">
        <v>478</v>
      </c>
      <c r="P73" s="2" t="n">
        <f aca="false">IF(O73="",0,LEN(O73)-LEN(SUBSTITUTE(O73,";",""))+1)</f>
        <v>30</v>
      </c>
      <c r="Q73" s="2" t="n">
        <f aca="false">INDEX(Sections!$B$2:$B$4,MATCH(E73,Sections!$A$2:$A$4,0))</f>
        <v>40</v>
      </c>
      <c r="R73" s="6" t="n">
        <f aca="false">P73/Q73</f>
        <v>0.75</v>
      </c>
      <c r="S73" s="5" t="n">
        <f aca="false">ROUND(Formula!$B$2*I73*20+Formula!$B$3*R73*100+Formula!$B$4*H73*20+Formula!$B$5*MIN(N73*100/Formula!$B$7,100),2)/100</f>
        <v>0.6025</v>
      </c>
    </row>
    <row r="74" customFormat="false" ht="23.85" hidden="false" customHeight="false" outlineLevel="0" collapsed="false">
      <c r="A74" s="9" t="n">
        <v>1073</v>
      </c>
      <c r="B74" s="10" t="s">
        <v>479</v>
      </c>
      <c r="C74" s="10" t="s">
        <v>480</v>
      </c>
      <c r="D74" s="9" t="s">
        <v>265</v>
      </c>
      <c r="E74" s="9" t="s">
        <v>25</v>
      </c>
      <c r="F74" s="9" t="s">
        <v>182</v>
      </c>
      <c r="G74" s="2" t="str">
        <f aca="false">INDEX(Students!$B$2:$B$101,MATCH(F74,Students!$A$2:$A$101,0))</f>
        <v>Dhruv Mane</v>
      </c>
      <c r="H74" s="9" t="n">
        <v>4</v>
      </c>
      <c r="I74" s="9" t="n">
        <v>3</v>
      </c>
      <c r="J74" s="9" t="s">
        <v>259</v>
      </c>
      <c r="K74" s="9" t="s">
        <v>287</v>
      </c>
      <c r="L74" s="9"/>
      <c r="M74" s="10"/>
      <c r="N74" s="9" t="n">
        <v>1</v>
      </c>
      <c r="O74" s="9" t="s">
        <v>481</v>
      </c>
      <c r="P74" s="2" t="n">
        <f aca="false">IF(O74="",0,LEN(O74)-LEN(SUBSTITUTE(O74,";",""))+1)</f>
        <v>9</v>
      </c>
      <c r="Q74" s="2" t="n">
        <f aca="false">INDEX(Sections!$B$2:$B$4,MATCH(E74,Sections!$A$2:$A$4,0))</f>
        <v>40</v>
      </c>
      <c r="R74" s="6" t="n">
        <f aca="false">P74/Q74</f>
        <v>0.225</v>
      </c>
      <c r="S74" s="5" t="n">
        <f aca="false">ROUND(Formula!$B$2*I74*20+Formula!$B$3*R74*100+Formula!$B$4*H74*20+Formula!$B$5*MIN(N74*100/Formula!$B$7,100),2)/100</f>
        <v>0.4521</v>
      </c>
    </row>
    <row r="75" customFormat="false" ht="15" hidden="false" customHeight="false" outlineLevel="0" collapsed="false">
      <c r="A75" s="9" t="n">
        <v>1074</v>
      </c>
      <c r="B75" s="10" t="s">
        <v>289</v>
      </c>
      <c r="C75" s="10" t="s">
        <v>290</v>
      </c>
      <c r="D75" s="9" t="s">
        <v>291</v>
      </c>
      <c r="E75" s="9" t="s">
        <v>25</v>
      </c>
      <c r="F75" s="9" t="s">
        <v>184</v>
      </c>
      <c r="G75" s="2" t="str">
        <f aca="false">INDEX(Students!$B$2:$B$101,MATCH(F75,Students!$A$2:$A$101,0))</f>
        <v>Komal Gaikwad</v>
      </c>
      <c r="H75" s="9" t="n">
        <v>3</v>
      </c>
      <c r="I75" s="9" t="n">
        <v>2</v>
      </c>
      <c r="J75" s="9" t="s">
        <v>259</v>
      </c>
      <c r="K75" s="9" t="s">
        <v>20</v>
      </c>
      <c r="L75" s="9" t="s">
        <v>482</v>
      </c>
      <c r="M75" s="10" t="s">
        <v>261</v>
      </c>
      <c r="N75" s="9" t="n">
        <v>10</v>
      </c>
      <c r="O75" s="9" t="s">
        <v>483</v>
      </c>
      <c r="P75" s="2" t="n">
        <f aca="false">IF(O75="",0,LEN(O75)-LEN(SUBSTITUTE(O75,";",""))+1)</f>
        <v>3</v>
      </c>
      <c r="Q75" s="2" t="n">
        <f aca="false">INDEX(Sections!$B$2:$B$4,MATCH(E75,Sections!$A$2:$A$4,0))</f>
        <v>40</v>
      </c>
      <c r="R75" s="6" t="n">
        <f aca="false">P75/Q75</f>
        <v>0.075</v>
      </c>
      <c r="S75" s="5" t="n">
        <f aca="false">ROUND(Formula!$B$2*I75*20+Formula!$B$3*R75*100+Formula!$B$4*H75*20+Formula!$B$5*MIN(N75*100/Formula!$B$7,100),2)/100</f>
        <v>0.3196</v>
      </c>
    </row>
    <row r="76" customFormat="false" ht="15" hidden="false" customHeight="false" outlineLevel="0" collapsed="false">
      <c r="A76" s="9" t="n">
        <v>1075</v>
      </c>
      <c r="B76" s="10" t="s">
        <v>484</v>
      </c>
      <c r="C76" s="10" t="s">
        <v>485</v>
      </c>
      <c r="D76" s="9" t="s">
        <v>258</v>
      </c>
      <c r="E76" s="9" t="s">
        <v>25</v>
      </c>
      <c r="F76" s="9" t="s">
        <v>186</v>
      </c>
      <c r="G76" s="2" t="str">
        <f aca="false">INDEX(Students!$B$2:$B$101,MATCH(F76,Students!$A$2:$A$101,0))</f>
        <v>Shreya Sharma</v>
      </c>
      <c r="H76" s="9" t="n">
        <v>3</v>
      </c>
      <c r="I76" s="9" t="n">
        <v>3</v>
      </c>
      <c r="J76" s="9" t="s">
        <v>259</v>
      </c>
      <c r="K76" s="9" t="s">
        <v>294</v>
      </c>
      <c r="L76" s="9"/>
      <c r="M76" s="10" t="s">
        <v>295</v>
      </c>
      <c r="N76" s="9" t="n">
        <v>2</v>
      </c>
      <c r="O76" s="9" t="s">
        <v>486</v>
      </c>
      <c r="P76" s="2" t="n">
        <f aca="false">IF(O76="",0,LEN(O76)-LEN(SUBSTITUTE(O76,";",""))+1)</f>
        <v>10</v>
      </c>
      <c r="Q76" s="2" t="n">
        <f aca="false">INDEX(Sections!$B$2:$B$4,MATCH(E76,Sections!$A$2:$A$4,0))</f>
        <v>40</v>
      </c>
      <c r="R76" s="6" t="n">
        <f aca="false">P76/Q76</f>
        <v>0.25</v>
      </c>
      <c r="S76" s="5" t="n">
        <f aca="false">ROUND(Formula!$B$2*I76*20+Formula!$B$3*R76*100+Formula!$B$4*H76*20+Formula!$B$5*MIN(N76*100/Formula!$B$7,100),2)/100</f>
        <v>0.4242</v>
      </c>
    </row>
    <row r="77" customFormat="false" ht="23.85" hidden="false" customHeight="false" outlineLevel="0" collapsed="false">
      <c r="A77" s="9" t="n">
        <v>1076</v>
      </c>
      <c r="B77" s="10" t="s">
        <v>419</v>
      </c>
      <c r="C77" s="10" t="s">
        <v>420</v>
      </c>
      <c r="D77" s="9" t="s">
        <v>258</v>
      </c>
      <c r="E77" s="9" t="s">
        <v>25</v>
      </c>
      <c r="F77" s="9" t="s">
        <v>188</v>
      </c>
      <c r="G77" s="2" t="str">
        <f aca="false">INDEX(Students!$B$2:$B$101,MATCH(F77,Students!$A$2:$A$101,0))</f>
        <v>Akash Sharma</v>
      </c>
      <c r="H77" s="9" t="n">
        <v>4</v>
      </c>
      <c r="I77" s="9" t="n">
        <v>3</v>
      </c>
      <c r="J77" s="9" t="s">
        <v>259</v>
      </c>
      <c r="K77" s="9" t="s">
        <v>275</v>
      </c>
      <c r="L77" s="9" t="s">
        <v>260</v>
      </c>
      <c r="M77" s="10" t="s">
        <v>276</v>
      </c>
      <c r="N77" s="9" t="n">
        <v>21</v>
      </c>
      <c r="O77" s="9" t="s">
        <v>487</v>
      </c>
      <c r="P77" s="2" t="n">
        <f aca="false">IF(O77="",0,LEN(O77)-LEN(SUBSTITUTE(O77,";",""))+1)</f>
        <v>8</v>
      </c>
      <c r="Q77" s="2" t="n">
        <f aca="false">INDEX(Sections!$B$2:$B$4,MATCH(E77,Sections!$A$2:$A$4,0))</f>
        <v>40</v>
      </c>
      <c r="R77" s="6" t="n">
        <f aca="false">P77/Q77</f>
        <v>0.2</v>
      </c>
      <c r="S77" s="5" t="n">
        <f aca="false">ROUND(Formula!$B$2*I77*20+Formula!$B$3*R77*100+Formula!$B$4*H77*20+Formula!$B$5*MIN(N77*100/Formula!$B$7,100),2)/100</f>
        <v>0.51</v>
      </c>
    </row>
    <row r="78" customFormat="false" ht="23.85" hidden="false" customHeight="false" outlineLevel="0" collapsed="false">
      <c r="A78" s="9" t="n">
        <v>1077</v>
      </c>
      <c r="B78" s="10" t="s">
        <v>488</v>
      </c>
      <c r="C78" s="10" t="s">
        <v>489</v>
      </c>
      <c r="D78" s="9" t="s">
        <v>265</v>
      </c>
      <c r="E78" s="9" t="s">
        <v>25</v>
      </c>
      <c r="F78" s="9" t="s">
        <v>190</v>
      </c>
      <c r="G78" s="2" t="str">
        <f aca="false">INDEX(Students!$B$2:$B$101,MATCH(F78,Students!$A$2:$A$101,0))</f>
        <v>Shreya Ghate</v>
      </c>
      <c r="H78" s="9" t="n">
        <v>5</v>
      </c>
      <c r="I78" s="9" t="n">
        <v>3</v>
      </c>
      <c r="J78" s="9" t="s">
        <v>259</v>
      </c>
      <c r="K78" s="9" t="s">
        <v>287</v>
      </c>
      <c r="L78" s="9"/>
      <c r="M78" s="10"/>
      <c r="N78" s="9" t="n">
        <v>3</v>
      </c>
      <c r="O78" s="9" t="s">
        <v>490</v>
      </c>
      <c r="P78" s="2" t="n">
        <f aca="false">IF(O78="",0,LEN(O78)-LEN(SUBSTITUTE(O78,";",""))+1)</f>
        <v>4</v>
      </c>
      <c r="Q78" s="2" t="n">
        <f aca="false">INDEX(Sections!$B$2:$B$4,MATCH(E78,Sections!$A$2:$A$4,0))</f>
        <v>40</v>
      </c>
      <c r="R78" s="6" t="n">
        <f aca="false">P78/Q78</f>
        <v>0.1</v>
      </c>
      <c r="S78" s="5" t="n">
        <f aca="false">ROUND(Formula!$B$2*I78*20+Formula!$B$3*R78*100+Formula!$B$4*H78*20+Formula!$B$5*MIN(N78*100/Formula!$B$7,100),2)/100</f>
        <v>0.455</v>
      </c>
    </row>
    <row r="79" customFormat="false" ht="15" hidden="false" customHeight="false" outlineLevel="0" collapsed="false">
      <c r="A79" s="9" t="n">
        <v>1078</v>
      </c>
      <c r="B79" s="10" t="s">
        <v>491</v>
      </c>
      <c r="C79" s="10" t="s">
        <v>492</v>
      </c>
      <c r="D79" s="9" t="s">
        <v>286</v>
      </c>
      <c r="E79" s="9" t="s">
        <v>25</v>
      </c>
      <c r="F79" s="9" t="s">
        <v>192</v>
      </c>
      <c r="G79" s="2" t="str">
        <f aca="false">INDEX(Students!$B$2:$B$101,MATCH(F79,Students!$A$2:$A$101,0))</f>
        <v>Tanishka Jadhav</v>
      </c>
      <c r="H79" s="9" t="n">
        <v>3</v>
      </c>
      <c r="I79" s="9" t="n">
        <v>3</v>
      </c>
      <c r="J79" s="9" t="s">
        <v>259</v>
      </c>
      <c r="K79" s="9" t="s">
        <v>20</v>
      </c>
      <c r="L79" s="9" t="s">
        <v>303</v>
      </c>
      <c r="M79" s="10" t="s">
        <v>261</v>
      </c>
      <c r="N79" s="9" t="n">
        <v>4</v>
      </c>
      <c r="O79" s="9" t="s">
        <v>493</v>
      </c>
      <c r="P79" s="2" t="n">
        <f aca="false">IF(O79="",0,LEN(O79)-LEN(SUBSTITUTE(O79,";",""))+1)</f>
        <v>9</v>
      </c>
      <c r="Q79" s="2" t="n">
        <f aca="false">INDEX(Sections!$B$2:$B$4,MATCH(E79,Sections!$A$2:$A$4,0))</f>
        <v>40</v>
      </c>
      <c r="R79" s="6" t="n">
        <f aca="false">P79/Q79</f>
        <v>0.225</v>
      </c>
      <c r="S79" s="5" t="n">
        <f aca="false">ROUND(Formula!$B$2*I79*20+Formula!$B$3*R79*100+Formula!$B$4*H79*20+Formula!$B$5*MIN(N79*100/Formula!$B$7,100),2)/100</f>
        <v>0.4221</v>
      </c>
    </row>
    <row r="80" customFormat="false" ht="23.85" hidden="false" customHeight="false" outlineLevel="0" collapsed="false">
      <c r="A80" s="9" t="n">
        <v>1079</v>
      </c>
      <c r="B80" s="10" t="s">
        <v>494</v>
      </c>
      <c r="C80" s="10" t="s">
        <v>495</v>
      </c>
      <c r="D80" s="9" t="s">
        <v>334</v>
      </c>
      <c r="E80" s="9" t="s">
        <v>25</v>
      </c>
      <c r="F80" s="9" t="s">
        <v>194</v>
      </c>
      <c r="G80" s="2" t="str">
        <f aca="false">INDEX(Students!$B$2:$B$101,MATCH(F80,Students!$A$2:$A$101,0))</f>
        <v>Harshada Bhatt</v>
      </c>
      <c r="H80" s="9" t="n">
        <v>3</v>
      </c>
      <c r="I80" s="9" t="n">
        <v>2</v>
      </c>
      <c r="J80" s="9" t="s">
        <v>259</v>
      </c>
      <c r="K80" s="9" t="s">
        <v>379</v>
      </c>
      <c r="L80" s="9" t="s">
        <v>372</v>
      </c>
      <c r="M80" s="10" t="s">
        <v>380</v>
      </c>
      <c r="N80" s="9" t="n">
        <v>21</v>
      </c>
      <c r="O80" s="9" t="s">
        <v>496</v>
      </c>
      <c r="P80" s="2" t="n">
        <f aca="false">IF(O80="",0,LEN(O80)-LEN(SUBSTITUTE(O80,";",""))+1)</f>
        <v>21</v>
      </c>
      <c r="Q80" s="2" t="n">
        <f aca="false">INDEX(Sections!$B$2:$B$4,MATCH(E80,Sections!$A$2:$A$4,0))</f>
        <v>40</v>
      </c>
      <c r="R80" s="6" t="n">
        <f aca="false">P80/Q80</f>
        <v>0.525</v>
      </c>
      <c r="S80" s="5" t="n">
        <f aca="false">ROUND(Formula!$B$2*I80*20+Formula!$B$3*R80*100+Formula!$B$4*H80*20+Formula!$B$5*MIN(N80*100/Formula!$B$7,100),2)/100</f>
        <v>0.5138</v>
      </c>
    </row>
    <row r="81" customFormat="false" ht="23.85" hidden="false" customHeight="false" outlineLevel="0" collapsed="false">
      <c r="A81" s="9" t="n">
        <v>1080</v>
      </c>
      <c r="B81" s="10" t="s">
        <v>364</v>
      </c>
      <c r="C81" s="10" t="s">
        <v>365</v>
      </c>
      <c r="D81" s="9" t="s">
        <v>258</v>
      </c>
      <c r="E81" s="9" t="s">
        <v>25</v>
      </c>
      <c r="F81" s="9" t="s">
        <v>196</v>
      </c>
      <c r="G81" s="2" t="str">
        <f aca="false">INDEX(Students!$B$2:$B$101,MATCH(F81,Students!$A$2:$A$101,0))</f>
        <v>Varun Mehta</v>
      </c>
      <c r="H81" s="9" t="n">
        <v>3</v>
      </c>
      <c r="I81" s="9" t="n">
        <v>3</v>
      </c>
      <c r="J81" s="9" t="s">
        <v>259</v>
      </c>
      <c r="K81" s="9" t="s">
        <v>287</v>
      </c>
      <c r="L81" s="9"/>
      <c r="M81" s="10"/>
      <c r="N81" s="9" t="n">
        <v>3</v>
      </c>
      <c r="O81" s="9" t="s">
        <v>196</v>
      </c>
      <c r="P81" s="2" t="n">
        <f aca="false">IF(O81="",0,LEN(O81)-LEN(SUBSTITUTE(O81,";",""))+1)</f>
        <v>1</v>
      </c>
      <c r="Q81" s="2" t="n">
        <f aca="false">INDEX(Sections!$B$2:$B$4,MATCH(E81,Sections!$A$2:$A$4,0))</f>
        <v>40</v>
      </c>
      <c r="R81" s="6" t="n">
        <f aca="false">P81/Q81</f>
        <v>0.025</v>
      </c>
      <c r="S81" s="5" t="n">
        <f aca="false">ROUND(Formula!$B$2*I81*20+Formula!$B$3*R81*100+Formula!$B$4*H81*20+Formula!$B$5*MIN(N81*100/Formula!$B$7,100),2)/100</f>
        <v>0.3488</v>
      </c>
    </row>
    <row r="82" customFormat="false" ht="23.85" hidden="false" customHeight="false" outlineLevel="0" collapsed="false">
      <c r="A82" s="9" t="n">
        <v>1081</v>
      </c>
      <c r="B82" s="10" t="s">
        <v>497</v>
      </c>
      <c r="C82" s="10" t="s">
        <v>498</v>
      </c>
      <c r="D82" s="9" t="s">
        <v>265</v>
      </c>
      <c r="E82" s="9" t="s">
        <v>25</v>
      </c>
      <c r="F82" s="9" t="s">
        <v>198</v>
      </c>
      <c r="G82" s="2" t="str">
        <f aca="false">INDEX(Students!$B$2:$B$101,MATCH(F82,Students!$A$2:$A$101,0))</f>
        <v>Mihir Apte</v>
      </c>
      <c r="H82" s="9" t="n">
        <v>4</v>
      </c>
      <c r="I82" s="9" t="n">
        <v>3</v>
      </c>
      <c r="J82" s="9" t="s">
        <v>259</v>
      </c>
      <c r="K82" s="9" t="s">
        <v>287</v>
      </c>
      <c r="L82" s="9"/>
      <c r="M82" s="10"/>
      <c r="N82" s="9" t="n">
        <v>2</v>
      </c>
      <c r="O82" s="9" t="s">
        <v>499</v>
      </c>
      <c r="P82" s="2" t="n">
        <f aca="false">IF(O82="",0,LEN(O82)-LEN(SUBSTITUTE(O82,";",""))+1)</f>
        <v>22</v>
      </c>
      <c r="Q82" s="2" t="n">
        <f aca="false">INDEX(Sections!$B$2:$B$4,MATCH(E82,Sections!$A$2:$A$4,0))</f>
        <v>40</v>
      </c>
      <c r="R82" s="6" t="n">
        <f aca="false">P82/Q82</f>
        <v>0.55</v>
      </c>
      <c r="S82" s="5" t="n">
        <f aca="false">ROUND(Formula!$B$2*I82*20+Formula!$B$3*R82*100+Formula!$B$4*H82*20+Formula!$B$5*MIN(N82*100/Formula!$B$7,100),2)/100</f>
        <v>0.5692</v>
      </c>
    </row>
    <row r="83" customFormat="false" ht="23.85" hidden="false" customHeight="false" outlineLevel="0" collapsed="false">
      <c r="A83" s="9" t="n">
        <v>1082</v>
      </c>
      <c r="B83" s="10" t="s">
        <v>500</v>
      </c>
      <c r="C83" s="10" t="s">
        <v>501</v>
      </c>
      <c r="D83" s="9" t="s">
        <v>265</v>
      </c>
      <c r="E83" s="9" t="s">
        <v>25</v>
      </c>
      <c r="F83" s="9" t="s">
        <v>200</v>
      </c>
      <c r="G83" s="2" t="str">
        <f aca="false">INDEX(Students!$B$2:$B$101,MATCH(F83,Students!$A$2:$A$101,0))</f>
        <v>Omkar Tambe</v>
      </c>
      <c r="H83" s="9" t="n">
        <v>3</v>
      </c>
      <c r="I83" s="9" t="n">
        <v>3</v>
      </c>
      <c r="J83" s="9" t="s">
        <v>259</v>
      </c>
      <c r="K83" s="9" t="s">
        <v>270</v>
      </c>
      <c r="L83" s="9" t="s">
        <v>266</v>
      </c>
      <c r="M83" s="10" t="s">
        <v>271</v>
      </c>
      <c r="N83" s="9" t="n">
        <v>21</v>
      </c>
      <c r="O83" s="9" t="s">
        <v>502</v>
      </c>
      <c r="P83" s="2" t="n">
        <f aca="false">IF(O83="",0,LEN(O83)-LEN(SUBSTITUTE(O83,";",""))+1)</f>
        <v>28</v>
      </c>
      <c r="Q83" s="2" t="n">
        <f aca="false">INDEX(Sections!$B$2:$B$4,MATCH(E83,Sections!$A$2:$A$4,0))</f>
        <v>40</v>
      </c>
      <c r="R83" s="6" t="n">
        <f aca="false">P83/Q83</f>
        <v>0.7</v>
      </c>
      <c r="S83" s="5" t="n">
        <f aca="false">ROUND(Formula!$B$2*I83*20+Formula!$B$3*R83*100+Formula!$B$4*H83*20+Formula!$B$5*MIN(N83*100/Formula!$B$7,100),2)/100</f>
        <v>0.645</v>
      </c>
    </row>
    <row r="84" customFormat="false" ht="23.85" hidden="false" customHeight="false" outlineLevel="0" collapsed="false">
      <c r="A84" s="9" t="n">
        <v>1083</v>
      </c>
      <c r="B84" s="10" t="s">
        <v>503</v>
      </c>
      <c r="C84" s="10" t="s">
        <v>504</v>
      </c>
      <c r="D84" s="9" t="s">
        <v>323</v>
      </c>
      <c r="E84" s="9" t="s">
        <v>25</v>
      </c>
      <c r="F84" s="9" t="s">
        <v>202</v>
      </c>
      <c r="G84" s="2" t="str">
        <f aca="false">INDEX(Students!$B$2:$B$101,MATCH(F84,Students!$A$2:$A$101,0))</f>
        <v>Tanishka Iyer</v>
      </c>
      <c r="H84" s="9" t="n">
        <v>5</v>
      </c>
      <c r="I84" s="9" t="n">
        <v>5</v>
      </c>
      <c r="J84" s="9" t="s">
        <v>324</v>
      </c>
      <c r="K84" s="9" t="s">
        <v>379</v>
      </c>
      <c r="L84" s="9" t="s">
        <v>260</v>
      </c>
      <c r="M84" s="10" t="s">
        <v>380</v>
      </c>
      <c r="N84" s="9" t="n">
        <v>20</v>
      </c>
      <c r="O84" s="9" t="s">
        <v>505</v>
      </c>
      <c r="P84" s="2" t="n">
        <f aca="false">IF(O84="",0,LEN(O84)-LEN(SUBSTITUTE(O84,";",""))+1)</f>
        <v>6</v>
      </c>
      <c r="Q84" s="2" t="n">
        <f aca="false">INDEX(Sections!$B$2:$B$4,MATCH(E84,Sections!$A$2:$A$4,0))</f>
        <v>40</v>
      </c>
      <c r="R84" s="6" t="n">
        <f aca="false">P84/Q84</f>
        <v>0.15</v>
      </c>
      <c r="S84" s="5" t="n">
        <f aca="false">ROUND(Formula!$B$2*I84*20+Formula!$B$3*R84*100+Formula!$B$4*H84*20+Formula!$B$5*MIN(N84*100/Formula!$B$7,100),2)/100</f>
        <v>0.6692</v>
      </c>
    </row>
    <row r="85" customFormat="false" ht="23.85" hidden="false" customHeight="false" outlineLevel="0" collapsed="false">
      <c r="A85" s="9" t="n">
        <v>1084</v>
      </c>
      <c r="B85" s="10" t="s">
        <v>506</v>
      </c>
      <c r="C85" s="10" t="s">
        <v>507</v>
      </c>
      <c r="D85" s="9" t="s">
        <v>286</v>
      </c>
      <c r="E85" s="9" t="s">
        <v>25</v>
      </c>
      <c r="F85" s="9" t="s">
        <v>204</v>
      </c>
      <c r="G85" s="2" t="str">
        <f aca="false">INDEX(Students!$B$2:$B$101,MATCH(F85,Students!$A$2:$A$101,0))</f>
        <v>Kavya Gaikwad</v>
      </c>
      <c r="H85" s="9" t="n">
        <v>3</v>
      </c>
      <c r="I85" s="9" t="n">
        <v>2</v>
      </c>
      <c r="J85" s="9" t="s">
        <v>259</v>
      </c>
      <c r="K85" s="9" t="s">
        <v>20</v>
      </c>
      <c r="L85" s="9" t="s">
        <v>303</v>
      </c>
      <c r="M85" s="10" t="s">
        <v>261</v>
      </c>
      <c r="N85" s="9" t="n">
        <v>16</v>
      </c>
      <c r="O85" s="9" t="s">
        <v>508</v>
      </c>
      <c r="P85" s="2" t="n">
        <f aca="false">IF(O85="",0,LEN(O85)-LEN(SUBSTITUTE(O85,";",""))+1)</f>
        <v>8</v>
      </c>
      <c r="Q85" s="2" t="n">
        <f aca="false">INDEX(Sections!$B$2:$B$4,MATCH(E85,Sections!$A$2:$A$4,0))</f>
        <v>40</v>
      </c>
      <c r="R85" s="6" t="n">
        <f aca="false">P85/Q85</f>
        <v>0.2</v>
      </c>
      <c r="S85" s="5" t="n">
        <f aca="false">ROUND(Formula!$B$2*I85*20+Formula!$B$3*R85*100+Formula!$B$4*H85*20+Formula!$B$5*MIN(N85*100/Formula!$B$7,100),2)/100</f>
        <v>0.3833</v>
      </c>
    </row>
    <row r="86" customFormat="false" ht="23.85" hidden="false" customHeight="false" outlineLevel="0" collapsed="false">
      <c r="A86" s="9" t="n">
        <v>1085</v>
      </c>
      <c r="B86" s="10" t="s">
        <v>509</v>
      </c>
      <c r="C86" s="10" t="s">
        <v>510</v>
      </c>
      <c r="D86" s="9" t="s">
        <v>265</v>
      </c>
      <c r="E86" s="9" t="s">
        <v>25</v>
      </c>
      <c r="F86" s="9" t="s">
        <v>206</v>
      </c>
      <c r="G86" s="2" t="str">
        <f aca="false">INDEX(Students!$B$2:$B$101,MATCH(F86,Students!$A$2:$A$101,0))</f>
        <v>Rahul Singh</v>
      </c>
      <c r="H86" s="9" t="n">
        <v>4</v>
      </c>
      <c r="I86" s="9" t="n">
        <v>3</v>
      </c>
      <c r="J86" s="9" t="s">
        <v>259</v>
      </c>
      <c r="K86" s="9" t="s">
        <v>20</v>
      </c>
      <c r="L86" s="9" t="s">
        <v>266</v>
      </c>
      <c r="M86" s="10" t="s">
        <v>261</v>
      </c>
      <c r="N86" s="9" t="n">
        <v>9</v>
      </c>
      <c r="O86" s="9" t="s">
        <v>511</v>
      </c>
      <c r="P86" s="2" t="n">
        <f aca="false">IF(O86="",0,LEN(O86)-LEN(SUBSTITUTE(O86,";",""))+1)</f>
        <v>5</v>
      </c>
      <c r="Q86" s="2" t="n">
        <f aca="false">INDEX(Sections!$B$2:$B$4,MATCH(E86,Sections!$A$2:$A$4,0))</f>
        <v>40</v>
      </c>
      <c r="R86" s="6" t="n">
        <f aca="false">P86/Q86</f>
        <v>0.125</v>
      </c>
      <c r="S86" s="5" t="n">
        <f aca="false">ROUND(Formula!$B$2*I86*20+Formula!$B$3*R86*100+Formula!$B$4*H86*20+Formula!$B$5*MIN(N86*100/Formula!$B$7,100),2)/100</f>
        <v>0.4438</v>
      </c>
    </row>
    <row r="87" customFormat="false" ht="23.85" hidden="false" customHeight="false" outlineLevel="0" collapsed="false">
      <c r="A87" s="9" t="n">
        <v>1086</v>
      </c>
      <c r="B87" s="10" t="s">
        <v>512</v>
      </c>
      <c r="C87" s="10" t="s">
        <v>513</v>
      </c>
      <c r="D87" s="9" t="s">
        <v>291</v>
      </c>
      <c r="E87" s="9" t="s">
        <v>25</v>
      </c>
      <c r="F87" s="9" t="s">
        <v>208</v>
      </c>
      <c r="G87" s="2" t="str">
        <f aca="false">INDEX(Students!$B$2:$B$101,MATCH(F87,Students!$A$2:$A$101,0))</f>
        <v>Nikita Wagh</v>
      </c>
      <c r="H87" s="9" t="n">
        <v>4</v>
      </c>
      <c r="I87" s="9" t="n">
        <v>3</v>
      </c>
      <c r="J87" s="9" t="s">
        <v>259</v>
      </c>
      <c r="K87" s="9" t="s">
        <v>287</v>
      </c>
      <c r="L87" s="9"/>
      <c r="M87" s="10"/>
      <c r="N87" s="9" t="n">
        <v>2</v>
      </c>
      <c r="O87" s="9" t="s">
        <v>514</v>
      </c>
      <c r="P87" s="2" t="n">
        <f aca="false">IF(O87="",0,LEN(O87)-LEN(SUBSTITUTE(O87,";",""))+1)</f>
        <v>2</v>
      </c>
      <c r="Q87" s="2" t="n">
        <f aca="false">INDEX(Sections!$B$2:$B$4,MATCH(E87,Sections!$A$2:$A$4,0))</f>
        <v>40</v>
      </c>
      <c r="R87" s="6" t="n">
        <f aca="false">P87/Q87</f>
        <v>0.05</v>
      </c>
      <c r="S87" s="5" t="n">
        <f aca="false">ROUND(Formula!$B$2*I87*20+Formula!$B$3*R87*100+Formula!$B$4*H87*20+Formula!$B$5*MIN(N87*100/Formula!$B$7,100),2)/100</f>
        <v>0.3942</v>
      </c>
    </row>
    <row r="88" customFormat="false" ht="23.85" hidden="false" customHeight="false" outlineLevel="0" collapsed="false">
      <c r="A88" s="9" t="n">
        <v>1087</v>
      </c>
      <c r="B88" s="10" t="s">
        <v>515</v>
      </c>
      <c r="C88" s="10" t="s">
        <v>516</v>
      </c>
      <c r="D88" s="9" t="s">
        <v>265</v>
      </c>
      <c r="E88" s="9" t="s">
        <v>25</v>
      </c>
      <c r="F88" s="9" t="s">
        <v>210</v>
      </c>
      <c r="G88" s="2" t="str">
        <f aca="false">INDEX(Students!$B$2:$B$101,MATCH(F88,Students!$A$2:$A$101,0))</f>
        <v>Vaishnavi Parab</v>
      </c>
      <c r="H88" s="9" t="n">
        <v>3</v>
      </c>
      <c r="I88" s="9" t="n">
        <v>3</v>
      </c>
      <c r="J88" s="9" t="s">
        <v>259</v>
      </c>
      <c r="K88" s="9" t="s">
        <v>338</v>
      </c>
      <c r="L88" s="9" t="s">
        <v>266</v>
      </c>
      <c r="M88" s="10" t="s">
        <v>339</v>
      </c>
      <c r="N88" s="9" t="n">
        <v>21</v>
      </c>
      <c r="O88" s="9" t="s">
        <v>517</v>
      </c>
      <c r="P88" s="2" t="n">
        <f aca="false">IF(O88="",0,LEN(O88)-LEN(SUBSTITUTE(O88,";",""))+1)</f>
        <v>9</v>
      </c>
      <c r="Q88" s="2" t="n">
        <f aca="false">INDEX(Sections!$B$2:$B$4,MATCH(E88,Sections!$A$2:$A$4,0))</f>
        <v>40</v>
      </c>
      <c r="R88" s="6" t="n">
        <f aca="false">P88/Q88</f>
        <v>0.225</v>
      </c>
      <c r="S88" s="5" t="n">
        <f aca="false">ROUND(Formula!$B$2*I88*20+Formula!$B$3*R88*100+Formula!$B$4*H88*20+Formula!$B$5*MIN(N88*100/Formula!$B$7,100),2)/100</f>
        <v>0.4788</v>
      </c>
    </row>
    <row r="89" customFormat="false" ht="23.85" hidden="false" customHeight="false" outlineLevel="0" collapsed="false">
      <c r="A89" s="9" t="n">
        <v>1088</v>
      </c>
      <c r="B89" s="10" t="s">
        <v>518</v>
      </c>
      <c r="C89" s="10" t="s">
        <v>519</v>
      </c>
      <c r="D89" s="9" t="s">
        <v>258</v>
      </c>
      <c r="E89" s="9" t="s">
        <v>25</v>
      </c>
      <c r="F89" s="9" t="s">
        <v>212</v>
      </c>
      <c r="G89" s="2" t="str">
        <f aca="false">INDEX(Students!$B$2:$B$101,MATCH(F89,Students!$A$2:$A$101,0))</f>
        <v>Kunal Kadam</v>
      </c>
      <c r="H89" s="9" t="n">
        <v>3</v>
      </c>
      <c r="I89" s="9" t="n">
        <v>3</v>
      </c>
      <c r="J89" s="9" t="s">
        <v>259</v>
      </c>
      <c r="K89" s="9" t="s">
        <v>20</v>
      </c>
      <c r="L89" s="9" t="s">
        <v>260</v>
      </c>
      <c r="M89" s="10" t="s">
        <v>261</v>
      </c>
      <c r="N89" s="9" t="n">
        <v>22</v>
      </c>
      <c r="O89" s="9" t="s">
        <v>520</v>
      </c>
      <c r="P89" s="2" t="n">
        <f aca="false">IF(O89="",0,LEN(O89)-LEN(SUBSTITUTE(O89,";",""))+1)</f>
        <v>3</v>
      </c>
      <c r="Q89" s="2" t="n">
        <f aca="false">INDEX(Sections!$B$2:$B$4,MATCH(E89,Sections!$A$2:$A$4,0))</f>
        <v>40</v>
      </c>
      <c r="R89" s="6" t="n">
        <f aca="false">P89/Q89</f>
        <v>0.075</v>
      </c>
      <c r="S89" s="5" t="n">
        <f aca="false">ROUND(Formula!$B$2*I89*20+Formula!$B$3*R89*100+Formula!$B$4*H89*20+Formula!$B$5*MIN(N89*100/Formula!$B$7,100),2)/100</f>
        <v>0.4296</v>
      </c>
    </row>
    <row r="90" customFormat="false" ht="23.85" hidden="false" customHeight="false" outlineLevel="0" collapsed="false">
      <c r="A90" s="9" t="n">
        <v>1089</v>
      </c>
      <c r="B90" s="10" t="s">
        <v>521</v>
      </c>
      <c r="C90" s="10" t="s">
        <v>522</v>
      </c>
      <c r="D90" s="9" t="s">
        <v>258</v>
      </c>
      <c r="E90" s="9" t="s">
        <v>25</v>
      </c>
      <c r="F90" s="9" t="s">
        <v>214</v>
      </c>
      <c r="G90" s="2" t="str">
        <f aca="false">INDEX(Students!$B$2:$B$101,MATCH(F90,Students!$A$2:$A$101,0))</f>
        <v>Saurabh Mishra</v>
      </c>
      <c r="H90" s="9" t="n">
        <v>3</v>
      </c>
      <c r="I90" s="9" t="n">
        <v>3</v>
      </c>
      <c r="J90" s="9" t="s">
        <v>259</v>
      </c>
      <c r="K90" s="9" t="s">
        <v>294</v>
      </c>
      <c r="L90" s="9"/>
      <c r="M90" s="10" t="s">
        <v>295</v>
      </c>
      <c r="N90" s="9" t="n">
        <v>4</v>
      </c>
      <c r="O90" s="9" t="s">
        <v>214</v>
      </c>
      <c r="P90" s="2" t="n">
        <f aca="false">IF(O90="",0,LEN(O90)-LEN(SUBSTITUTE(O90,";",""))+1)</f>
        <v>1</v>
      </c>
      <c r="Q90" s="2" t="n">
        <f aca="false">INDEX(Sections!$B$2:$B$4,MATCH(E90,Sections!$A$2:$A$4,0))</f>
        <v>40</v>
      </c>
      <c r="R90" s="6" t="n">
        <f aca="false">P90/Q90</f>
        <v>0.025</v>
      </c>
      <c r="S90" s="5" t="n">
        <f aca="false">ROUND(Formula!$B$2*I90*20+Formula!$B$3*R90*100+Formula!$B$4*H90*20+Formula!$B$5*MIN(N90*100/Formula!$B$7,100),2)/100</f>
        <v>0.3521</v>
      </c>
    </row>
    <row r="91" customFormat="false" ht="15" hidden="false" customHeight="false" outlineLevel="0" collapsed="false">
      <c r="A91" s="9" t="n">
        <v>1090</v>
      </c>
      <c r="B91" s="10" t="s">
        <v>391</v>
      </c>
      <c r="C91" s="10" t="s">
        <v>392</v>
      </c>
      <c r="D91" s="9" t="s">
        <v>334</v>
      </c>
      <c r="E91" s="9" t="s">
        <v>25</v>
      </c>
      <c r="F91" s="9" t="s">
        <v>216</v>
      </c>
      <c r="G91" s="2" t="str">
        <f aca="false">INDEX(Students!$B$2:$B$101,MATCH(F91,Students!$A$2:$A$101,0))</f>
        <v>Kiran More</v>
      </c>
      <c r="H91" s="9" t="n">
        <v>2</v>
      </c>
      <c r="I91" s="9" t="n">
        <v>2</v>
      </c>
      <c r="J91" s="9" t="s">
        <v>259</v>
      </c>
      <c r="K91" s="9" t="s">
        <v>338</v>
      </c>
      <c r="L91" s="9" t="s">
        <v>372</v>
      </c>
      <c r="M91" s="10" t="s">
        <v>339</v>
      </c>
      <c r="N91" s="9" t="n">
        <v>24</v>
      </c>
      <c r="O91" s="9" t="s">
        <v>523</v>
      </c>
      <c r="P91" s="2" t="n">
        <f aca="false">IF(O91="",0,LEN(O91)-LEN(SUBSTITUTE(O91,";",""))+1)</f>
        <v>2</v>
      </c>
      <c r="Q91" s="2" t="n">
        <f aca="false">INDEX(Sections!$B$2:$B$4,MATCH(E91,Sections!$A$2:$A$4,0))</f>
        <v>40</v>
      </c>
      <c r="R91" s="6" t="n">
        <f aca="false">P91/Q91</f>
        <v>0.05</v>
      </c>
      <c r="S91" s="5" t="n">
        <f aca="false">ROUND(Formula!$B$2*I91*20+Formula!$B$3*R91*100+Formula!$B$4*H91*20+Formula!$B$5*MIN(N91*100/Formula!$B$7,100),2)/100</f>
        <v>0.3175</v>
      </c>
    </row>
    <row r="92" customFormat="false" ht="15" hidden="false" customHeight="false" outlineLevel="0" collapsed="false">
      <c r="A92" s="9" t="n">
        <v>1091</v>
      </c>
      <c r="B92" s="10" t="s">
        <v>391</v>
      </c>
      <c r="C92" s="10" t="s">
        <v>392</v>
      </c>
      <c r="D92" s="9" t="s">
        <v>334</v>
      </c>
      <c r="E92" s="9" t="s">
        <v>26</v>
      </c>
      <c r="F92" s="9" t="s">
        <v>218</v>
      </c>
      <c r="G92" s="2" t="str">
        <f aca="false">INDEX(Students!$B$2:$B$101,MATCH(F92,Students!$A$2:$A$101,0))</f>
        <v>Swati Parab</v>
      </c>
      <c r="H92" s="9" t="n">
        <v>2</v>
      </c>
      <c r="I92" s="9" t="n">
        <v>2</v>
      </c>
      <c r="J92" s="9" t="s">
        <v>259</v>
      </c>
      <c r="K92" s="9" t="s">
        <v>294</v>
      </c>
      <c r="L92" s="9"/>
      <c r="M92" s="10" t="s">
        <v>295</v>
      </c>
      <c r="N92" s="9" t="n">
        <v>6</v>
      </c>
      <c r="O92" s="9" t="s">
        <v>524</v>
      </c>
      <c r="P92" s="2" t="n">
        <f aca="false">IF(O92="",0,LEN(O92)-LEN(SUBSTITUTE(O92,";",""))+1)</f>
        <v>3</v>
      </c>
      <c r="Q92" s="2" t="n">
        <f aca="false">INDEX(Sections!$B$2:$B$4,MATCH(E92,Sections!$A$2:$A$4,0))</f>
        <v>10</v>
      </c>
      <c r="R92" s="6" t="n">
        <f aca="false">P92/Q92</f>
        <v>0.3</v>
      </c>
      <c r="S92" s="5" t="n">
        <f aca="false">ROUND(Formula!$B$2*I92*20+Formula!$B$3*R92*100+Formula!$B$4*H92*20+Formula!$B$5*MIN(N92*100/Formula!$B$7,100),2)/100</f>
        <v>0.345</v>
      </c>
    </row>
    <row r="93" customFormat="false" ht="23.85" hidden="false" customHeight="false" outlineLevel="0" collapsed="false">
      <c r="A93" s="9" t="n">
        <v>1092</v>
      </c>
      <c r="B93" s="10" t="s">
        <v>525</v>
      </c>
      <c r="C93" s="10" t="s">
        <v>526</v>
      </c>
      <c r="D93" s="9" t="s">
        <v>258</v>
      </c>
      <c r="E93" s="9" t="s">
        <v>26</v>
      </c>
      <c r="F93" s="9" t="s">
        <v>220</v>
      </c>
      <c r="G93" s="2" t="str">
        <f aca="false">INDEX(Students!$B$2:$B$101,MATCH(F93,Students!$A$2:$A$101,0))</f>
        <v>Apoorva Nair</v>
      </c>
      <c r="H93" s="9" t="n">
        <v>3</v>
      </c>
      <c r="I93" s="9" t="n">
        <v>3</v>
      </c>
      <c r="J93" s="9" t="s">
        <v>259</v>
      </c>
      <c r="K93" s="9" t="s">
        <v>20</v>
      </c>
      <c r="L93" s="9" t="s">
        <v>260</v>
      </c>
      <c r="M93" s="10" t="s">
        <v>261</v>
      </c>
      <c r="N93" s="9" t="n">
        <v>22</v>
      </c>
      <c r="O93" s="9" t="s">
        <v>527</v>
      </c>
      <c r="P93" s="2" t="n">
        <f aca="false">IF(O93="",0,LEN(O93)-LEN(SUBSTITUTE(O93,";",""))+1)</f>
        <v>2</v>
      </c>
      <c r="Q93" s="2" t="n">
        <f aca="false">INDEX(Sections!$B$2:$B$4,MATCH(E93,Sections!$A$2:$A$4,0))</f>
        <v>10</v>
      </c>
      <c r="R93" s="6" t="n">
        <f aca="false">P93/Q93</f>
        <v>0.2</v>
      </c>
      <c r="S93" s="5" t="n">
        <f aca="false">ROUND(Formula!$B$2*I93*20+Formula!$B$3*R93*100+Formula!$B$4*H93*20+Formula!$B$5*MIN(N93*100/Formula!$B$7,100),2)/100</f>
        <v>0.4733</v>
      </c>
    </row>
    <row r="94" customFormat="false" ht="15" hidden="false" customHeight="false" outlineLevel="0" collapsed="false">
      <c r="A94" s="9" t="n">
        <v>1093</v>
      </c>
      <c r="B94" s="10" t="s">
        <v>528</v>
      </c>
      <c r="C94" s="10" t="s">
        <v>529</v>
      </c>
      <c r="D94" s="9" t="s">
        <v>265</v>
      </c>
      <c r="E94" s="9" t="s">
        <v>26</v>
      </c>
      <c r="F94" s="9" t="s">
        <v>222</v>
      </c>
      <c r="G94" s="2" t="str">
        <f aca="false">INDEX(Students!$B$2:$B$101,MATCH(F94,Students!$A$2:$A$101,0))</f>
        <v>Karan Sawant</v>
      </c>
      <c r="H94" s="9" t="n">
        <v>4</v>
      </c>
      <c r="I94" s="9" t="n">
        <v>3</v>
      </c>
      <c r="J94" s="9" t="s">
        <v>259</v>
      </c>
      <c r="K94" s="9" t="s">
        <v>20</v>
      </c>
      <c r="L94" s="9" t="s">
        <v>266</v>
      </c>
      <c r="M94" s="10" t="s">
        <v>261</v>
      </c>
      <c r="N94" s="9" t="n">
        <v>19</v>
      </c>
      <c r="O94" s="9" t="s">
        <v>530</v>
      </c>
      <c r="P94" s="2" t="n">
        <f aca="false">IF(O94="",0,LEN(O94)-LEN(SUBSTITUTE(O94,";",""))+1)</f>
        <v>7</v>
      </c>
      <c r="Q94" s="2" t="n">
        <f aca="false">INDEX(Sections!$B$2:$B$4,MATCH(E94,Sections!$A$2:$A$4,0))</f>
        <v>10</v>
      </c>
      <c r="R94" s="6" t="n">
        <f aca="false">P94/Q94</f>
        <v>0.7</v>
      </c>
      <c r="S94" s="5" t="n">
        <f aca="false">ROUND(Formula!$B$2*I94*20+Formula!$B$3*R94*100+Formula!$B$4*H94*20+Formula!$B$5*MIN(N94*100/Formula!$B$7,100),2)/100</f>
        <v>0.6783</v>
      </c>
    </row>
    <row r="95" customFormat="false" ht="23.85" hidden="false" customHeight="false" outlineLevel="0" collapsed="false">
      <c r="A95" s="9" t="n">
        <v>1094</v>
      </c>
      <c r="B95" s="10" t="s">
        <v>382</v>
      </c>
      <c r="C95" s="10" t="s">
        <v>383</v>
      </c>
      <c r="D95" s="9" t="s">
        <v>286</v>
      </c>
      <c r="E95" s="9" t="s">
        <v>26</v>
      </c>
      <c r="F95" s="9" t="s">
        <v>224</v>
      </c>
      <c r="G95" s="2" t="str">
        <f aca="false">INDEX(Students!$B$2:$B$101,MATCH(F95,Students!$A$2:$A$101,0))</f>
        <v>Sanket More</v>
      </c>
      <c r="H95" s="9" t="n">
        <v>3</v>
      </c>
      <c r="I95" s="9" t="n">
        <v>3</v>
      </c>
      <c r="J95" s="9" t="s">
        <v>259</v>
      </c>
      <c r="K95" s="9" t="s">
        <v>302</v>
      </c>
      <c r="L95" s="9" t="s">
        <v>303</v>
      </c>
      <c r="M95" s="10" t="s">
        <v>304</v>
      </c>
      <c r="N95" s="9" t="n">
        <v>21</v>
      </c>
      <c r="O95" s="9" t="s">
        <v>531</v>
      </c>
      <c r="P95" s="2" t="n">
        <f aca="false">IF(O95="",0,LEN(O95)-LEN(SUBSTITUTE(O95,";",""))+1)</f>
        <v>2</v>
      </c>
      <c r="Q95" s="2" t="n">
        <f aca="false">INDEX(Sections!$B$2:$B$4,MATCH(E95,Sections!$A$2:$A$4,0))</f>
        <v>10</v>
      </c>
      <c r="R95" s="6" t="n">
        <f aca="false">P95/Q95</f>
        <v>0.2</v>
      </c>
      <c r="S95" s="5" t="n">
        <f aca="false">ROUND(Formula!$B$2*I95*20+Formula!$B$3*R95*100+Formula!$B$4*H95*20+Formula!$B$5*MIN(N95*100/Formula!$B$7,100),2)/100</f>
        <v>0.47</v>
      </c>
    </row>
    <row r="96" customFormat="false" ht="23.85" hidden="false" customHeight="false" outlineLevel="0" collapsed="false">
      <c r="A96" s="9" t="n">
        <v>1095</v>
      </c>
      <c r="B96" s="10" t="s">
        <v>448</v>
      </c>
      <c r="C96" s="10" t="s">
        <v>449</v>
      </c>
      <c r="D96" s="9" t="s">
        <v>258</v>
      </c>
      <c r="E96" s="9" t="s">
        <v>26</v>
      </c>
      <c r="F96" s="9" t="s">
        <v>226</v>
      </c>
      <c r="G96" s="2" t="str">
        <f aca="false">INDEX(Students!$B$2:$B$101,MATCH(F96,Students!$A$2:$A$101,0))</f>
        <v>Kiran Reddy</v>
      </c>
      <c r="H96" s="9" t="n">
        <v>3</v>
      </c>
      <c r="I96" s="9" t="n">
        <v>3</v>
      </c>
      <c r="J96" s="9" t="s">
        <v>259</v>
      </c>
      <c r="K96" s="9" t="s">
        <v>287</v>
      </c>
      <c r="L96" s="9"/>
      <c r="M96" s="10"/>
      <c r="N96" s="9" t="n">
        <v>0</v>
      </c>
      <c r="O96" s="9" t="s">
        <v>532</v>
      </c>
      <c r="P96" s="2" t="n">
        <f aca="false">IF(O96="",0,LEN(O96)-LEN(SUBSTITUTE(O96,";",""))+1)</f>
        <v>3</v>
      </c>
      <c r="Q96" s="2" t="n">
        <f aca="false">INDEX(Sections!$B$2:$B$4,MATCH(E96,Sections!$A$2:$A$4,0))</f>
        <v>10</v>
      </c>
      <c r="R96" s="6" t="n">
        <f aca="false">P96/Q96</f>
        <v>0.3</v>
      </c>
      <c r="S96" s="5" t="n">
        <f aca="false">ROUND(Formula!$B$2*I96*20+Formula!$B$3*R96*100+Formula!$B$4*H96*20+Formula!$B$5*MIN(N96*100/Formula!$B$7,100),2)/100</f>
        <v>0.435</v>
      </c>
    </row>
    <row r="97" customFormat="false" ht="23.85" hidden="false" customHeight="false" outlineLevel="0" collapsed="false">
      <c r="A97" s="9" t="n">
        <v>1096</v>
      </c>
      <c r="B97" s="10" t="s">
        <v>533</v>
      </c>
      <c r="C97" s="10" t="s">
        <v>534</v>
      </c>
      <c r="D97" s="9" t="s">
        <v>265</v>
      </c>
      <c r="E97" s="9" t="s">
        <v>26</v>
      </c>
      <c r="F97" s="9" t="s">
        <v>228</v>
      </c>
      <c r="G97" s="2" t="str">
        <f aca="false">INDEX(Students!$B$2:$B$101,MATCH(F97,Students!$A$2:$A$101,0))</f>
        <v>Apoorva Sawant</v>
      </c>
      <c r="H97" s="9" t="n">
        <v>3</v>
      </c>
      <c r="I97" s="9" t="n">
        <v>2</v>
      </c>
      <c r="J97" s="9" t="s">
        <v>259</v>
      </c>
      <c r="K97" s="9" t="s">
        <v>275</v>
      </c>
      <c r="L97" s="9" t="s">
        <v>266</v>
      </c>
      <c r="M97" s="10" t="s">
        <v>276</v>
      </c>
      <c r="N97" s="9" t="n">
        <v>13</v>
      </c>
      <c r="O97" s="9" t="s">
        <v>535</v>
      </c>
      <c r="P97" s="2" t="n">
        <f aca="false">IF(O97="",0,LEN(O97)-LEN(SUBSTITUTE(O97,";",""))+1)</f>
        <v>3</v>
      </c>
      <c r="Q97" s="2" t="n">
        <f aca="false">INDEX(Sections!$B$2:$B$4,MATCH(E97,Sections!$A$2:$A$4,0))</f>
        <v>10</v>
      </c>
      <c r="R97" s="6" t="n">
        <f aca="false">P97/Q97</f>
        <v>0.3</v>
      </c>
      <c r="S97" s="5" t="n">
        <f aca="false">ROUND(Formula!$B$2*I97*20+Formula!$B$3*R97*100+Formula!$B$4*H97*20+Formula!$B$5*MIN(N97*100/Formula!$B$7,100),2)/100</f>
        <v>0.4083</v>
      </c>
    </row>
    <row r="98" customFormat="false" ht="23.85" hidden="false" customHeight="false" outlineLevel="0" collapsed="false">
      <c r="A98" s="9" t="n">
        <v>1097</v>
      </c>
      <c r="B98" s="10" t="s">
        <v>536</v>
      </c>
      <c r="C98" s="10" t="s">
        <v>537</v>
      </c>
      <c r="D98" s="9" t="s">
        <v>334</v>
      </c>
      <c r="E98" s="9" t="s">
        <v>26</v>
      </c>
      <c r="F98" s="9" t="s">
        <v>230</v>
      </c>
      <c r="G98" s="2" t="str">
        <f aca="false">INDEX(Students!$B$2:$B$101,MATCH(F98,Students!$A$2:$A$101,0))</f>
        <v>Sakshi Gaikwad</v>
      </c>
      <c r="H98" s="9" t="n">
        <v>3</v>
      </c>
      <c r="I98" s="9" t="n">
        <v>3</v>
      </c>
      <c r="J98" s="9" t="s">
        <v>259</v>
      </c>
      <c r="K98" s="9" t="s">
        <v>270</v>
      </c>
      <c r="L98" s="9" t="s">
        <v>372</v>
      </c>
      <c r="M98" s="10" t="s">
        <v>271</v>
      </c>
      <c r="N98" s="9" t="n">
        <v>17</v>
      </c>
      <c r="O98" s="9" t="s">
        <v>538</v>
      </c>
      <c r="P98" s="2" t="n">
        <f aca="false">IF(O98="",0,LEN(O98)-LEN(SUBSTITUTE(O98,";",""))+1)</f>
        <v>2</v>
      </c>
      <c r="Q98" s="2" t="n">
        <f aca="false">INDEX(Sections!$B$2:$B$4,MATCH(E98,Sections!$A$2:$A$4,0))</f>
        <v>10</v>
      </c>
      <c r="R98" s="6" t="n">
        <f aca="false">P98/Q98</f>
        <v>0.2</v>
      </c>
      <c r="S98" s="5" t="n">
        <f aca="false">ROUND(Formula!$B$2*I98*20+Formula!$B$3*R98*100+Formula!$B$4*H98*20+Formula!$B$5*MIN(N98*100/Formula!$B$7,100),2)/100</f>
        <v>0.4567</v>
      </c>
    </row>
    <row r="99" customFormat="false" ht="23.85" hidden="false" customHeight="false" outlineLevel="0" collapsed="false">
      <c r="A99" s="9" t="n">
        <v>1098</v>
      </c>
      <c r="B99" s="10" t="s">
        <v>476</v>
      </c>
      <c r="C99" s="10" t="s">
        <v>477</v>
      </c>
      <c r="D99" s="9" t="s">
        <v>258</v>
      </c>
      <c r="E99" s="9" t="s">
        <v>26</v>
      </c>
      <c r="F99" s="9" t="s">
        <v>232</v>
      </c>
      <c r="G99" s="2" t="str">
        <f aca="false">INDEX(Students!$B$2:$B$101,MATCH(F99,Students!$A$2:$A$101,0))</f>
        <v>Ketaki Bhosale</v>
      </c>
      <c r="H99" s="9" t="n">
        <v>3</v>
      </c>
      <c r="I99" s="9" t="n">
        <v>2</v>
      </c>
      <c r="J99" s="9" t="s">
        <v>259</v>
      </c>
      <c r="K99" s="9" t="s">
        <v>275</v>
      </c>
      <c r="L99" s="9" t="s">
        <v>260</v>
      </c>
      <c r="M99" s="10" t="s">
        <v>276</v>
      </c>
      <c r="N99" s="9" t="n">
        <v>7</v>
      </c>
      <c r="O99" s="9" t="s">
        <v>232</v>
      </c>
      <c r="P99" s="2" t="n">
        <f aca="false">IF(O99="",0,LEN(O99)-LEN(SUBSTITUTE(O99,";",""))+1)</f>
        <v>1</v>
      </c>
      <c r="Q99" s="2" t="n">
        <f aca="false">INDEX(Sections!$B$2:$B$4,MATCH(E99,Sections!$A$2:$A$4,0))</f>
        <v>10</v>
      </c>
      <c r="R99" s="6" t="n">
        <f aca="false">P99/Q99</f>
        <v>0.1</v>
      </c>
      <c r="S99" s="5" t="n">
        <f aca="false">ROUND(Formula!$B$2*I99*20+Formula!$B$3*R99*100+Formula!$B$4*H99*20+Formula!$B$5*MIN(N99*100/Formula!$B$7,100),2)/100</f>
        <v>0.3183</v>
      </c>
    </row>
    <row r="100" customFormat="false" ht="23.85" hidden="false" customHeight="false" outlineLevel="0" collapsed="false">
      <c r="A100" s="9" t="n">
        <v>1099</v>
      </c>
      <c r="B100" s="10" t="s">
        <v>417</v>
      </c>
      <c r="C100" s="10" t="s">
        <v>418</v>
      </c>
      <c r="D100" s="9" t="s">
        <v>258</v>
      </c>
      <c r="E100" s="9" t="s">
        <v>26</v>
      </c>
      <c r="F100" s="9" t="s">
        <v>234</v>
      </c>
      <c r="G100" s="2" t="str">
        <f aca="false">INDEX(Students!$B$2:$B$101,MATCH(F100,Students!$A$2:$A$101,0))</f>
        <v>Aarti Sharma</v>
      </c>
      <c r="H100" s="9" t="n">
        <v>4</v>
      </c>
      <c r="I100" s="9" t="n">
        <v>3</v>
      </c>
      <c r="J100" s="9" t="s">
        <v>259</v>
      </c>
      <c r="K100" s="9" t="s">
        <v>287</v>
      </c>
      <c r="L100" s="9"/>
      <c r="M100" s="10"/>
      <c r="N100" s="9" t="n">
        <v>0</v>
      </c>
      <c r="O100" s="9" t="s">
        <v>539</v>
      </c>
      <c r="P100" s="2" t="n">
        <f aca="false">IF(O100="",0,LEN(O100)-LEN(SUBSTITUTE(O100,";",""))+1)</f>
        <v>3</v>
      </c>
      <c r="Q100" s="2" t="n">
        <f aca="false">INDEX(Sections!$B$2:$B$4,MATCH(E100,Sections!$A$2:$A$4,0))</f>
        <v>10</v>
      </c>
      <c r="R100" s="6" t="n">
        <f aca="false">P100/Q100</f>
        <v>0.3</v>
      </c>
      <c r="S100" s="5" t="n">
        <f aca="false">ROUND(Formula!$B$2*I100*20+Formula!$B$3*R100*100+Formula!$B$4*H100*20+Formula!$B$5*MIN(N100*100/Formula!$B$7,100),2)/100</f>
        <v>0.475</v>
      </c>
    </row>
    <row r="101" customFormat="false" ht="15" hidden="false" customHeight="false" outlineLevel="0" collapsed="false">
      <c r="A101" s="9" t="n">
        <v>1100</v>
      </c>
      <c r="B101" s="10" t="s">
        <v>454</v>
      </c>
      <c r="C101" s="10" t="s">
        <v>455</v>
      </c>
      <c r="D101" s="9" t="s">
        <v>334</v>
      </c>
      <c r="E101" s="9" t="s">
        <v>26</v>
      </c>
      <c r="F101" s="9" t="s">
        <v>236</v>
      </c>
      <c r="G101" s="2" t="str">
        <f aca="false">INDEX(Students!$B$2:$B$101,MATCH(F101,Students!$A$2:$A$101,0))</f>
        <v>Tejas Kamat</v>
      </c>
      <c r="H101" s="9" t="n">
        <v>2</v>
      </c>
      <c r="I101" s="9" t="n">
        <v>3</v>
      </c>
      <c r="J101" s="9" t="s">
        <v>259</v>
      </c>
      <c r="K101" s="9" t="s">
        <v>287</v>
      </c>
      <c r="L101" s="9"/>
      <c r="M101" s="10"/>
      <c r="N101" s="9" t="n">
        <v>3</v>
      </c>
      <c r="O101" s="9" t="s">
        <v>540</v>
      </c>
      <c r="P101" s="2" t="n">
        <f aca="false">IF(O101="",0,LEN(O101)-LEN(SUBSTITUTE(O101,";",""))+1)</f>
        <v>7</v>
      </c>
      <c r="Q101" s="2" t="n">
        <f aca="false">INDEX(Sections!$B$2:$B$4,MATCH(E101,Sections!$A$2:$A$4,0))</f>
        <v>10</v>
      </c>
      <c r="R101" s="6" t="n">
        <f aca="false">P101/Q101</f>
        <v>0.7</v>
      </c>
      <c r="S101" s="5" t="n">
        <f aca="false">ROUND(Formula!$B$2*I101*20+Formula!$B$3*R101*100+Formula!$B$4*H101*20+Formula!$B$5*MIN(N101*100/Formula!$B$7,100),2)/100</f>
        <v>0.545</v>
      </c>
    </row>
  </sheetData>
  <autoFilter ref="A1:S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4" t="s">
        <v>541</v>
      </c>
      <c r="B1" s="4" t="s">
        <v>542</v>
      </c>
      <c r="C1" s="4" t="s">
        <v>543</v>
      </c>
    </row>
    <row r="2" customFormat="false" ht="15" hidden="false" customHeight="false" outlineLevel="0" collapsed="false">
      <c r="A2" s="2" t="s">
        <v>544</v>
      </c>
      <c r="B2" s="11" t="n">
        <v>0.35</v>
      </c>
      <c r="C2" s="2" t="s">
        <v>545</v>
      </c>
    </row>
    <row r="3" customFormat="false" ht="15" hidden="false" customHeight="false" outlineLevel="0" collapsed="false">
      <c r="A3" s="2" t="s">
        <v>254</v>
      </c>
      <c r="B3" s="11" t="n">
        <v>0.35</v>
      </c>
      <c r="C3" s="2" t="s">
        <v>546</v>
      </c>
    </row>
    <row r="4" customFormat="false" ht="15" hidden="false" customHeight="false" outlineLevel="0" collapsed="false">
      <c r="A4" s="2" t="s">
        <v>547</v>
      </c>
      <c r="B4" s="11" t="n">
        <v>0.2</v>
      </c>
      <c r="C4" s="2" t="s">
        <v>548</v>
      </c>
    </row>
    <row r="5" customFormat="false" ht="15" hidden="false" customHeight="false" outlineLevel="0" collapsed="false">
      <c r="A5" s="2" t="s">
        <v>549</v>
      </c>
      <c r="B5" s="11" t="n">
        <v>0.1</v>
      </c>
      <c r="C5" s="2" t="s">
        <v>550</v>
      </c>
    </row>
    <row r="6" customFormat="false" ht="15" hidden="false" customHeight="false" outlineLevel="0" collapsed="false">
      <c r="A6" s="3" t="s">
        <v>551</v>
      </c>
      <c r="B6" s="12" t="n">
        <f aca="false">SUM(B2:B5)</f>
        <v>1</v>
      </c>
    </row>
    <row r="7" customFormat="false" ht="15" hidden="false" customHeight="false" outlineLevel="0" collapsed="false">
      <c r="A7" s="2" t="s">
        <v>552</v>
      </c>
      <c r="B7" s="8" t="n">
        <v>30</v>
      </c>
      <c r="C7" s="2" t="s">
        <v>553</v>
      </c>
    </row>
    <row r="9" customFormat="false" ht="15" hidden="false" customHeight="false" outlineLevel="0" collapsed="false">
      <c r="A9" s="2" t="s">
        <v>554</v>
      </c>
    </row>
    <row r="10" customFormat="false" ht="15" hidden="false" customHeight="false" outlineLevel="0" collapsed="false">
      <c r="A10" s="2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2026-10-23T07:10:13Z</dcterms:created>
  <dc:creator>openpyxl</dc:creator>
  <dc:description/>
  <dc:language>en-US</dc:language>
  <cp:lastModifiedBy/>
  <dcterms:modified xsi:type="dcterms:W3CDTF">2026-10-23T07:10:13Z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